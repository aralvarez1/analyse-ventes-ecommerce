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al\Desktop\OpenClassrooms\Projet 2\Livrables\"/>
    </mc:Choice>
  </mc:AlternateContent>
  <xr:revisionPtr revIDLastSave="0" documentId="13_ncr:1_{72A3BA9E-8F6B-4CE4-91E4-573D187FFC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ableau de bord" sheetId="1" r:id="rId1"/>
    <sheet name="Tableau Client x Catégorie" sheetId="4" r:id="rId2"/>
    <sheet name="DATA Février (clients affiliés)" sheetId="3" r:id="rId3"/>
  </sheets>
  <calcPr calcId="191029" iterateDelta="1E-4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G661" i="3"/>
  <c r="F661" i="3"/>
  <c r="E661" i="3"/>
  <c r="G660" i="3"/>
  <c r="F660" i="3"/>
  <c r="E660" i="3"/>
  <c r="G659" i="3"/>
  <c r="F659" i="3"/>
  <c r="E659" i="3"/>
  <c r="G658" i="3"/>
  <c r="F658" i="3"/>
  <c r="E658" i="3"/>
  <c r="G657" i="3"/>
  <c r="F657" i="3"/>
  <c r="E657" i="3"/>
  <c r="G656" i="3"/>
  <c r="F656" i="3"/>
  <c r="E656" i="3"/>
  <c r="G655" i="3"/>
  <c r="F655" i="3"/>
  <c r="E655" i="3"/>
  <c r="G654" i="3"/>
  <c r="F654" i="3"/>
  <c r="E654" i="3"/>
  <c r="G653" i="3"/>
  <c r="F653" i="3"/>
  <c r="E653" i="3"/>
  <c r="G652" i="3"/>
  <c r="F652" i="3"/>
  <c r="E652" i="3"/>
  <c r="G651" i="3"/>
  <c r="F651" i="3"/>
  <c r="E651" i="3"/>
  <c r="G650" i="3"/>
  <c r="F650" i="3"/>
  <c r="E650" i="3"/>
  <c r="G649" i="3"/>
  <c r="F649" i="3"/>
  <c r="E649" i="3"/>
  <c r="G648" i="3"/>
  <c r="F648" i="3"/>
  <c r="E648" i="3"/>
  <c r="G647" i="3"/>
  <c r="F647" i="3"/>
  <c r="E647" i="3"/>
  <c r="G646" i="3"/>
  <c r="F646" i="3"/>
  <c r="E646" i="3"/>
  <c r="G645" i="3"/>
  <c r="F645" i="3"/>
  <c r="E645" i="3"/>
  <c r="G644" i="3"/>
  <c r="F644" i="3"/>
  <c r="E644" i="3"/>
  <c r="G643" i="3"/>
  <c r="F643" i="3"/>
  <c r="E643" i="3"/>
  <c r="G642" i="3"/>
  <c r="F642" i="3"/>
  <c r="E642" i="3"/>
  <c r="G641" i="3"/>
  <c r="F641" i="3"/>
  <c r="E641" i="3"/>
  <c r="G640" i="3"/>
  <c r="F640" i="3"/>
  <c r="E640" i="3"/>
  <c r="G639" i="3"/>
  <c r="F639" i="3"/>
  <c r="E639" i="3"/>
  <c r="G638" i="3"/>
  <c r="F638" i="3"/>
  <c r="E638" i="3"/>
  <c r="G637" i="3"/>
  <c r="F637" i="3"/>
  <c r="E637" i="3"/>
  <c r="G636" i="3"/>
  <c r="F636" i="3"/>
  <c r="E636" i="3"/>
  <c r="G635" i="3"/>
  <c r="F635" i="3"/>
  <c r="E635" i="3"/>
  <c r="G634" i="3"/>
  <c r="F634" i="3"/>
  <c r="E634" i="3"/>
  <c r="G633" i="3"/>
  <c r="F633" i="3"/>
  <c r="E633" i="3"/>
  <c r="G632" i="3"/>
  <c r="F632" i="3"/>
  <c r="E632" i="3"/>
  <c r="G631" i="3"/>
  <c r="F631" i="3"/>
  <c r="E631" i="3"/>
  <c r="G630" i="3"/>
  <c r="F630" i="3"/>
  <c r="E630" i="3"/>
  <c r="G629" i="3"/>
  <c r="F629" i="3"/>
  <c r="E629" i="3"/>
  <c r="G628" i="3"/>
  <c r="F628" i="3"/>
  <c r="E628" i="3"/>
  <c r="G627" i="3"/>
  <c r="F627" i="3"/>
  <c r="E627" i="3"/>
  <c r="G626" i="3"/>
  <c r="F626" i="3"/>
  <c r="E626" i="3"/>
  <c r="G625" i="3"/>
  <c r="F625" i="3"/>
  <c r="E625" i="3"/>
  <c r="G624" i="3"/>
  <c r="F624" i="3"/>
  <c r="E624" i="3"/>
  <c r="G623" i="3"/>
  <c r="F623" i="3"/>
  <c r="E623" i="3"/>
  <c r="G622" i="3"/>
  <c r="F622" i="3"/>
  <c r="E622" i="3"/>
  <c r="G621" i="3"/>
  <c r="F621" i="3"/>
  <c r="E621" i="3"/>
  <c r="G620" i="3"/>
  <c r="F620" i="3"/>
  <c r="E620" i="3"/>
  <c r="G619" i="3"/>
  <c r="F619" i="3"/>
  <c r="E619" i="3"/>
  <c r="G618" i="3"/>
  <c r="F618" i="3"/>
  <c r="E618" i="3"/>
  <c r="G617" i="3"/>
  <c r="F617" i="3"/>
  <c r="E617" i="3"/>
  <c r="G616" i="3"/>
  <c r="F616" i="3"/>
  <c r="E616" i="3"/>
  <c r="G615" i="3"/>
  <c r="F615" i="3"/>
  <c r="E615" i="3"/>
  <c r="G614" i="3"/>
  <c r="F614" i="3"/>
  <c r="E614" i="3"/>
  <c r="G613" i="3"/>
  <c r="F613" i="3"/>
  <c r="E613" i="3"/>
  <c r="G612" i="3"/>
  <c r="F612" i="3"/>
  <c r="E612" i="3"/>
  <c r="G611" i="3"/>
  <c r="F611" i="3"/>
  <c r="E611" i="3"/>
  <c r="G610" i="3"/>
  <c r="F610" i="3"/>
  <c r="E610" i="3"/>
  <c r="G609" i="3"/>
  <c r="F609" i="3"/>
  <c r="E609" i="3"/>
  <c r="G608" i="3"/>
  <c r="F608" i="3"/>
  <c r="E608" i="3"/>
  <c r="G607" i="3"/>
  <c r="F607" i="3"/>
  <c r="E607" i="3"/>
  <c r="G606" i="3"/>
  <c r="F606" i="3"/>
  <c r="E606" i="3"/>
  <c r="G605" i="3"/>
  <c r="F605" i="3"/>
  <c r="E605" i="3"/>
  <c r="G604" i="3"/>
  <c r="F604" i="3"/>
  <c r="E604" i="3"/>
  <c r="G603" i="3"/>
  <c r="F603" i="3"/>
  <c r="E603" i="3"/>
  <c r="G602" i="3"/>
  <c r="F602" i="3"/>
  <c r="E602" i="3"/>
  <c r="G601" i="3"/>
  <c r="F601" i="3"/>
  <c r="E601" i="3"/>
  <c r="G600" i="3"/>
  <c r="F600" i="3"/>
  <c r="E600" i="3"/>
  <c r="G599" i="3"/>
  <c r="F599" i="3"/>
  <c r="E599" i="3"/>
  <c r="G598" i="3"/>
  <c r="F598" i="3"/>
  <c r="E598" i="3"/>
  <c r="G597" i="3"/>
  <c r="F597" i="3"/>
  <c r="E597" i="3"/>
  <c r="G596" i="3"/>
  <c r="F596" i="3"/>
  <c r="E596" i="3"/>
  <c r="G595" i="3"/>
  <c r="F595" i="3"/>
  <c r="E595" i="3"/>
  <c r="G594" i="3"/>
  <c r="F594" i="3"/>
  <c r="E594" i="3"/>
  <c r="G593" i="3"/>
  <c r="F593" i="3"/>
  <c r="E593" i="3"/>
  <c r="G592" i="3"/>
  <c r="F592" i="3"/>
  <c r="E592" i="3"/>
  <c r="G591" i="3"/>
  <c r="F591" i="3"/>
  <c r="E591" i="3"/>
  <c r="G590" i="3"/>
  <c r="F590" i="3"/>
  <c r="E590" i="3"/>
  <c r="G589" i="3"/>
  <c r="F589" i="3"/>
  <c r="E589" i="3"/>
  <c r="G588" i="3"/>
  <c r="F588" i="3"/>
  <c r="E588" i="3"/>
  <c r="G587" i="3"/>
  <c r="F587" i="3"/>
  <c r="E587" i="3"/>
  <c r="G586" i="3"/>
  <c r="F586" i="3"/>
  <c r="E586" i="3"/>
  <c r="G585" i="3"/>
  <c r="F585" i="3"/>
  <c r="E585" i="3"/>
  <c r="G584" i="3"/>
  <c r="F584" i="3"/>
  <c r="E584" i="3"/>
  <c r="G583" i="3"/>
  <c r="F583" i="3"/>
  <c r="E583" i="3"/>
  <c r="G582" i="3"/>
  <c r="F582" i="3"/>
  <c r="E582" i="3"/>
  <c r="G581" i="3"/>
  <c r="F581" i="3"/>
  <c r="E581" i="3"/>
  <c r="G580" i="3"/>
  <c r="F580" i="3"/>
  <c r="E580" i="3"/>
  <c r="G579" i="3"/>
  <c r="F579" i="3"/>
  <c r="E579" i="3"/>
  <c r="G578" i="3"/>
  <c r="F578" i="3"/>
  <c r="E578" i="3"/>
  <c r="G577" i="3"/>
  <c r="F577" i="3"/>
  <c r="E577" i="3"/>
  <c r="G576" i="3"/>
  <c r="F576" i="3"/>
  <c r="E576" i="3"/>
  <c r="G575" i="3"/>
  <c r="F575" i="3"/>
  <c r="E575" i="3"/>
  <c r="G574" i="3"/>
  <c r="F574" i="3"/>
  <c r="E574" i="3"/>
  <c r="G573" i="3"/>
  <c r="F573" i="3"/>
  <c r="E573" i="3"/>
  <c r="G572" i="3"/>
  <c r="F572" i="3"/>
  <c r="E572" i="3"/>
  <c r="G571" i="3"/>
  <c r="F571" i="3"/>
  <c r="E571" i="3"/>
  <c r="G570" i="3"/>
  <c r="F570" i="3"/>
  <c r="E570" i="3"/>
  <c r="G569" i="3"/>
  <c r="F569" i="3"/>
  <c r="E569" i="3"/>
  <c r="G568" i="3"/>
  <c r="F568" i="3"/>
  <c r="E568" i="3"/>
  <c r="G567" i="3"/>
  <c r="F567" i="3"/>
  <c r="E567" i="3"/>
  <c r="G566" i="3"/>
  <c r="F566" i="3"/>
  <c r="E566" i="3"/>
  <c r="G565" i="3"/>
  <c r="F565" i="3"/>
  <c r="E565" i="3"/>
  <c r="G564" i="3"/>
  <c r="F564" i="3"/>
  <c r="E564" i="3"/>
  <c r="G563" i="3"/>
  <c r="F563" i="3"/>
  <c r="E563" i="3"/>
  <c r="G562" i="3"/>
  <c r="F562" i="3"/>
  <c r="E562" i="3"/>
  <c r="G561" i="3"/>
  <c r="F561" i="3"/>
  <c r="E561" i="3"/>
  <c r="G560" i="3"/>
  <c r="F560" i="3"/>
  <c r="E560" i="3"/>
  <c r="G559" i="3"/>
  <c r="F559" i="3"/>
  <c r="E559" i="3"/>
  <c r="G558" i="3"/>
  <c r="F558" i="3"/>
  <c r="E558" i="3"/>
  <c r="G557" i="3"/>
  <c r="F557" i="3"/>
  <c r="E557" i="3"/>
  <c r="G556" i="3"/>
  <c r="F556" i="3"/>
  <c r="E556" i="3"/>
  <c r="G555" i="3"/>
  <c r="F555" i="3"/>
  <c r="E555" i="3"/>
  <c r="G554" i="3"/>
  <c r="F554" i="3"/>
  <c r="E554" i="3"/>
  <c r="G553" i="3"/>
  <c r="F553" i="3"/>
  <c r="E553" i="3"/>
  <c r="G552" i="3"/>
  <c r="F552" i="3"/>
  <c r="E552" i="3"/>
  <c r="G551" i="3"/>
  <c r="F551" i="3"/>
  <c r="E551" i="3"/>
  <c r="G550" i="3"/>
  <c r="F550" i="3"/>
  <c r="E550" i="3"/>
  <c r="G549" i="3"/>
  <c r="F549" i="3"/>
  <c r="E549" i="3"/>
  <c r="G548" i="3"/>
  <c r="F548" i="3"/>
  <c r="E548" i="3"/>
  <c r="G547" i="3"/>
  <c r="F547" i="3"/>
  <c r="E547" i="3"/>
  <c r="G546" i="3"/>
  <c r="F546" i="3"/>
  <c r="E546" i="3"/>
  <c r="G545" i="3"/>
  <c r="F545" i="3"/>
  <c r="E545" i="3"/>
  <c r="G544" i="3"/>
  <c r="F544" i="3"/>
  <c r="E544" i="3"/>
  <c r="G543" i="3"/>
  <c r="F543" i="3"/>
  <c r="E543" i="3"/>
  <c r="G542" i="3"/>
  <c r="F542" i="3"/>
  <c r="E542" i="3"/>
  <c r="G541" i="3"/>
  <c r="F541" i="3"/>
  <c r="E541" i="3"/>
  <c r="G540" i="3"/>
  <c r="F540" i="3"/>
  <c r="E540" i="3"/>
  <c r="G539" i="3"/>
  <c r="F539" i="3"/>
  <c r="E539" i="3"/>
  <c r="G538" i="3"/>
  <c r="F538" i="3"/>
  <c r="E538" i="3"/>
  <c r="G537" i="3"/>
  <c r="F537" i="3"/>
  <c r="E537" i="3"/>
  <c r="G536" i="3"/>
  <c r="F536" i="3"/>
  <c r="E536" i="3"/>
  <c r="G535" i="3"/>
  <c r="F535" i="3"/>
  <c r="E535" i="3"/>
  <c r="G534" i="3"/>
  <c r="F534" i="3"/>
  <c r="E534" i="3"/>
  <c r="G533" i="3"/>
  <c r="F533" i="3"/>
  <c r="E533" i="3"/>
  <c r="G532" i="3"/>
  <c r="F532" i="3"/>
  <c r="E532" i="3"/>
  <c r="G531" i="3"/>
  <c r="F531" i="3"/>
  <c r="E531" i="3"/>
  <c r="G530" i="3"/>
  <c r="F530" i="3"/>
  <c r="E530" i="3"/>
  <c r="G529" i="3"/>
  <c r="F529" i="3"/>
  <c r="E529" i="3"/>
  <c r="G528" i="3"/>
  <c r="F528" i="3"/>
  <c r="E528" i="3"/>
  <c r="G527" i="3"/>
  <c r="F527" i="3"/>
  <c r="E527" i="3"/>
  <c r="G526" i="3"/>
  <c r="F526" i="3"/>
  <c r="E526" i="3"/>
  <c r="G525" i="3"/>
  <c r="F525" i="3"/>
  <c r="E525" i="3"/>
  <c r="G524" i="3"/>
  <c r="F524" i="3"/>
  <c r="E524" i="3"/>
  <c r="G523" i="3"/>
  <c r="F523" i="3"/>
  <c r="E523" i="3"/>
  <c r="G522" i="3"/>
  <c r="F522" i="3"/>
  <c r="E522" i="3"/>
  <c r="G521" i="3"/>
  <c r="F521" i="3"/>
  <c r="E521" i="3"/>
  <c r="G520" i="3"/>
  <c r="F520" i="3"/>
  <c r="E520" i="3"/>
  <c r="G519" i="3"/>
  <c r="F519" i="3"/>
  <c r="E519" i="3"/>
  <c r="G518" i="3"/>
  <c r="F518" i="3"/>
  <c r="E518" i="3"/>
  <c r="G517" i="3"/>
  <c r="F517" i="3"/>
  <c r="E517" i="3"/>
  <c r="G516" i="3"/>
  <c r="F516" i="3"/>
  <c r="E516" i="3"/>
  <c r="G515" i="3"/>
  <c r="F515" i="3"/>
  <c r="E515" i="3"/>
  <c r="G514" i="3"/>
  <c r="F514" i="3"/>
  <c r="E514" i="3"/>
  <c r="G513" i="3"/>
  <c r="F513" i="3"/>
  <c r="E513" i="3"/>
  <c r="G512" i="3"/>
  <c r="F512" i="3"/>
  <c r="E512" i="3"/>
  <c r="G511" i="3"/>
  <c r="F511" i="3"/>
  <c r="E511" i="3"/>
  <c r="G510" i="3"/>
  <c r="F510" i="3"/>
  <c r="E510" i="3"/>
  <c r="G509" i="3"/>
  <c r="F509" i="3"/>
  <c r="E509" i="3"/>
  <c r="G508" i="3"/>
  <c r="F508" i="3"/>
  <c r="E508" i="3"/>
  <c r="G507" i="3"/>
  <c r="F507" i="3"/>
  <c r="E507" i="3"/>
  <c r="G506" i="3"/>
  <c r="F506" i="3"/>
  <c r="E506" i="3"/>
  <c r="G505" i="3"/>
  <c r="F505" i="3"/>
  <c r="E505" i="3"/>
  <c r="G504" i="3"/>
  <c r="F504" i="3"/>
  <c r="E504" i="3"/>
  <c r="G503" i="3"/>
  <c r="F503" i="3"/>
  <c r="E503" i="3"/>
  <c r="G502" i="3"/>
  <c r="F502" i="3"/>
  <c r="E502" i="3"/>
  <c r="G501" i="3"/>
  <c r="F501" i="3"/>
  <c r="E501" i="3"/>
  <c r="G500" i="3"/>
  <c r="F500" i="3"/>
  <c r="E500" i="3"/>
  <c r="G499" i="3"/>
  <c r="F499" i="3"/>
  <c r="E499" i="3"/>
  <c r="G498" i="3"/>
  <c r="F498" i="3"/>
  <c r="E498" i="3"/>
  <c r="G497" i="3"/>
  <c r="F497" i="3"/>
  <c r="E497" i="3"/>
  <c r="G496" i="3"/>
  <c r="F496" i="3"/>
  <c r="E496" i="3"/>
  <c r="G495" i="3"/>
  <c r="F495" i="3"/>
  <c r="E495" i="3"/>
  <c r="G494" i="3"/>
  <c r="F494" i="3"/>
  <c r="E494" i="3"/>
  <c r="G493" i="3"/>
  <c r="F493" i="3"/>
  <c r="E493" i="3"/>
  <c r="G492" i="3"/>
  <c r="F492" i="3"/>
  <c r="E492" i="3"/>
  <c r="G491" i="3"/>
  <c r="F491" i="3"/>
  <c r="E491" i="3"/>
  <c r="G490" i="3"/>
  <c r="F490" i="3"/>
  <c r="E490" i="3"/>
  <c r="G489" i="3"/>
  <c r="F489" i="3"/>
  <c r="E489" i="3"/>
  <c r="G488" i="3"/>
  <c r="F488" i="3"/>
  <c r="E488" i="3"/>
  <c r="G487" i="3"/>
  <c r="F487" i="3"/>
  <c r="E487" i="3"/>
  <c r="G486" i="3"/>
  <c r="F486" i="3"/>
  <c r="E486" i="3"/>
  <c r="G485" i="3"/>
  <c r="F485" i="3"/>
  <c r="E485" i="3"/>
  <c r="G484" i="3"/>
  <c r="F484" i="3"/>
  <c r="E484" i="3"/>
  <c r="G483" i="3"/>
  <c r="F483" i="3"/>
  <c r="E483" i="3"/>
  <c r="G482" i="3"/>
  <c r="F482" i="3"/>
  <c r="E482" i="3"/>
  <c r="G481" i="3"/>
  <c r="F481" i="3"/>
  <c r="E481" i="3"/>
  <c r="G480" i="3"/>
  <c r="F480" i="3"/>
  <c r="E480" i="3"/>
  <c r="G479" i="3"/>
  <c r="F479" i="3"/>
  <c r="E479" i="3"/>
  <c r="G478" i="3"/>
  <c r="F478" i="3"/>
  <c r="E478" i="3"/>
  <c r="G477" i="3"/>
  <c r="F477" i="3"/>
  <c r="E477" i="3"/>
  <c r="G476" i="3"/>
  <c r="F476" i="3"/>
  <c r="E476" i="3"/>
  <c r="G475" i="3"/>
  <c r="F475" i="3"/>
  <c r="E475" i="3"/>
  <c r="G474" i="3"/>
  <c r="F474" i="3"/>
  <c r="E474" i="3"/>
  <c r="G473" i="3"/>
  <c r="F473" i="3"/>
  <c r="E473" i="3"/>
  <c r="G472" i="3"/>
  <c r="F472" i="3"/>
  <c r="E472" i="3"/>
  <c r="G471" i="3"/>
  <c r="F471" i="3"/>
  <c r="E471" i="3"/>
  <c r="G470" i="3"/>
  <c r="F470" i="3"/>
  <c r="E470" i="3"/>
  <c r="G469" i="3"/>
  <c r="F469" i="3"/>
  <c r="E469" i="3"/>
  <c r="G468" i="3"/>
  <c r="F468" i="3"/>
  <c r="E468" i="3"/>
  <c r="G467" i="3"/>
  <c r="F467" i="3"/>
  <c r="E467" i="3"/>
  <c r="G466" i="3"/>
  <c r="F466" i="3"/>
  <c r="E466" i="3"/>
  <c r="G465" i="3"/>
  <c r="F465" i="3"/>
  <c r="E465" i="3"/>
  <c r="G464" i="3"/>
  <c r="F464" i="3"/>
  <c r="E464" i="3"/>
  <c r="G463" i="3"/>
  <c r="F463" i="3"/>
  <c r="E463" i="3"/>
  <c r="G462" i="3"/>
  <c r="F462" i="3"/>
  <c r="E462" i="3"/>
  <c r="G461" i="3"/>
  <c r="F461" i="3"/>
  <c r="E461" i="3"/>
  <c r="G460" i="3"/>
  <c r="F460" i="3"/>
  <c r="E460" i="3"/>
  <c r="G459" i="3"/>
  <c r="F459" i="3"/>
  <c r="E459" i="3"/>
  <c r="G458" i="3"/>
  <c r="F458" i="3"/>
  <c r="E458" i="3"/>
  <c r="G457" i="3"/>
  <c r="F457" i="3"/>
  <c r="E457" i="3"/>
  <c r="G456" i="3"/>
  <c r="F456" i="3"/>
  <c r="E456" i="3"/>
  <c r="G455" i="3"/>
  <c r="F455" i="3"/>
  <c r="E455" i="3"/>
  <c r="G454" i="3"/>
  <c r="F454" i="3"/>
  <c r="E454" i="3"/>
  <c r="G453" i="3"/>
  <c r="F453" i="3"/>
  <c r="E453" i="3"/>
  <c r="G452" i="3"/>
  <c r="F452" i="3"/>
  <c r="E452" i="3"/>
  <c r="G451" i="3"/>
  <c r="F451" i="3"/>
  <c r="E451" i="3"/>
  <c r="G450" i="3"/>
  <c r="F450" i="3"/>
  <c r="E450" i="3"/>
  <c r="G449" i="3"/>
  <c r="F449" i="3"/>
  <c r="E449" i="3"/>
  <c r="G448" i="3"/>
  <c r="F448" i="3"/>
  <c r="E448" i="3"/>
  <c r="G447" i="3"/>
  <c r="F447" i="3"/>
  <c r="E447" i="3"/>
  <c r="G446" i="3"/>
  <c r="F446" i="3"/>
  <c r="E446" i="3"/>
  <c r="G445" i="3"/>
  <c r="F445" i="3"/>
  <c r="E445" i="3"/>
  <c r="G444" i="3"/>
  <c r="F444" i="3"/>
  <c r="E444" i="3"/>
  <c r="G443" i="3"/>
  <c r="F443" i="3"/>
  <c r="E443" i="3"/>
  <c r="G442" i="3"/>
  <c r="F442" i="3"/>
  <c r="E442" i="3"/>
  <c r="G441" i="3"/>
  <c r="F441" i="3"/>
  <c r="E441" i="3"/>
  <c r="G440" i="3"/>
  <c r="F440" i="3"/>
  <c r="E440" i="3"/>
  <c r="G439" i="3"/>
  <c r="F439" i="3"/>
  <c r="E439" i="3"/>
  <c r="G438" i="3"/>
  <c r="F438" i="3"/>
  <c r="E438" i="3"/>
  <c r="G437" i="3"/>
  <c r="F437" i="3"/>
  <c r="E437" i="3"/>
  <c r="G436" i="3"/>
  <c r="F436" i="3"/>
  <c r="E436" i="3"/>
  <c r="G435" i="3"/>
  <c r="F435" i="3"/>
  <c r="E435" i="3"/>
  <c r="G434" i="3"/>
  <c r="F434" i="3"/>
  <c r="E434" i="3"/>
  <c r="G433" i="3"/>
  <c r="F433" i="3"/>
  <c r="E433" i="3"/>
  <c r="G432" i="3"/>
  <c r="F432" i="3"/>
  <c r="E432" i="3"/>
  <c r="G431" i="3"/>
  <c r="F431" i="3"/>
  <c r="E431" i="3"/>
  <c r="G430" i="3"/>
  <c r="F430" i="3"/>
  <c r="E430" i="3"/>
  <c r="G429" i="3"/>
  <c r="F429" i="3"/>
  <c r="E429" i="3"/>
  <c r="G428" i="3"/>
  <c r="F428" i="3"/>
  <c r="E428" i="3"/>
  <c r="G427" i="3"/>
  <c r="F427" i="3"/>
  <c r="E427" i="3"/>
  <c r="G426" i="3"/>
  <c r="F426" i="3"/>
  <c r="E426" i="3"/>
  <c r="G425" i="3"/>
  <c r="F425" i="3"/>
  <c r="E425" i="3"/>
  <c r="G424" i="3"/>
  <c r="F424" i="3"/>
  <c r="E424" i="3"/>
  <c r="G423" i="3"/>
  <c r="F423" i="3"/>
  <c r="E423" i="3"/>
  <c r="G422" i="3"/>
  <c r="F422" i="3"/>
  <c r="E422" i="3"/>
  <c r="G421" i="3"/>
  <c r="F421" i="3"/>
  <c r="E421" i="3"/>
  <c r="G420" i="3"/>
  <c r="F420" i="3"/>
  <c r="E420" i="3"/>
  <c r="G419" i="3"/>
  <c r="F419" i="3"/>
  <c r="E419" i="3"/>
  <c r="G418" i="3"/>
  <c r="F418" i="3"/>
  <c r="E418" i="3"/>
  <c r="G417" i="3"/>
  <c r="F417" i="3"/>
  <c r="E417" i="3"/>
  <c r="G416" i="3"/>
  <c r="F416" i="3"/>
  <c r="E416" i="3"/>
  <c r="G415" i="3"/>
  <c r="F415" i="3"/>
  <c r="E415" i="3"/>
  <c r="G414" i="3"/>
  <c r="F414" i="3"/>
  <c r="E414" i="3"/>
  <c r="G413" i="3"/>
  <c r="F413" i="3"/>
  <c r="E413" i="3"/>
  <c r="G412" i="3"/>
  <c r="F412" i="3"/>
  <c r="E412" i="3"/>
  <c r="G411" i="3"/>
  <c r="F411" i="3"/>
  <c r="E411" i="3"/>
  <c r="G410" i="3"/>
  <c r="F410" i="3"/>
  <c r="E410" i="3"/>
  <c r="G409" i="3"/>
  <c r="F409" i="3"/>
  <c r="E409" i="3"/>
  <c r="G408" i="3"/>
  <c r="F408" i="3"/>
  <c r="E408" i="3"/>
  <c r="G407" i="3"/>
  <c r="F407" i="3"/>
  <c r="E407" i="3"/>
  <c r="G406" i="3"/>
  <c r="F406" i="3"/>
  <c r="E406" i="3"/>
  <c r="G405" i="3"/>
  <c r="F405" i="3"/>
  <c r="E405" i="3"/>
  <c r="G404" i="3"/>
  <c r="F404" i="3"/>
  <c r="E404" i="3"/>
  <c r="G403" i="3"/>
  <c r="F403" i="3"/>
  <c r="E403" i="3"/>
  <c r="G402" i="3"/>
  <c r="F402" i="3"/>
  <c r="E402" i="3"/>
  <c r="G401" i="3"/>
  <c r="F401" i="3"/>
  <c r="E401" i="3"/>
  <c r="G400" i="3"/>
  <c r="F400" i="3"/>
  <c r="E400" i="3"/>
  <c r="G399" i="3"/>
  <c r="F399" i="3"/>
  <c r="E399" i="3"/>
  <c r="G398" i="3"/>
  <c r="F398" i="3"/>
  <c r="E398" i="3"/>
  <c r="G397" i="3"/>
  <c r="F397" i="3"/>
  <c r="E397" i="3"/>
  <c r="G396" i="3"/>
  <c r="F396" i="3"/>
  <c r="E396" i="3"/>
  <c r="G395" i="3"/>
  <c r="F395" i="3"/>
  <c r="E395" i="3"/>
  <c r="G394" i="3"/>
  <c r="F394" i="3"/>
  <c r="E394" i="3"/>
  <c r="G393" i="3"/>
  <c r="F393" i="3"/>
  <c r="E393" i="3"/>
  <c r="G392" i="3"/>
  <c r="F392" i="3"/>
  <c r="E392" i="3"/>
  <c r="G391" i="3"/>
  <c r="F391" i="3"/>
  <c r="E391" i="3"/>
  <c r="G390" i="3"/>
  <c r="F390" i="3"/>
  <c r="E390" i="3"/>
  <c r="G389" i="3"/>
  <c r="F389" i="3"/>
  <c r="E389" i="3"/>
  <c r="G388" i="3"/>
  <c r="F388" i="3"/>
  <c r="E388" i="3"/>
  <c r="G387" i="3"/>
  <c r="F387" i="3"/>
  <c r="E387" i="3"/>
  <c r="G386" i="3"/>
  <c r="F386" i="3"/>
  <c r="E386" i="3"/>
  <c r="G385" i="3"/>
  <c r="F385" i="3"/>
  <c r="E385" i="3"/>
  <c r="G384" i="3"/>
  <c r="F384" i="3"/>
  <c r="E384" i="3"/>
  <c r="G383" i="3"/>
  <c r="F383" i="3"/>
  <c r="E383" i="3"/>
  <c r="G382" i="3"/>
  <c r="F382" i="3"/>
  <c r="E382" i="3"/>
  <c r="G381" i="3"/>
  <c r="F381" i="3"/>
  <c r="E381" i="3"/>
  <c r="G380" i="3"/>
  <c r="F380" i="3"/>
  <c r="E380" i="3"/>
  <c r="G379" i="3"/>
  <c r="F379" i="3"/>
  <c r="E379" i="3"/>
  <c r="G378" i="3"/>
  <c r="F378" i="3"/>
  <c r="E378" i="3"/>
  <c r="G377" i="3"/>
  <c r="F377" i="3"/>
  <c r="E377" i="3"/>
  <c r="G376" i="3"/>
  <c r="F376" i="3"/>
  <c r="E376" i="3"/>
  <c r="G375" i="3"/>
  <c r="F375" i="3"/>
  <c r="E375" i="3"/>
  <c r="G374" i="3"/>
  <c r="F374" i="3"/>
  <c r="E374" i="3"/>
  <c r="G373" i="3"/>
  <c r="F373" i="3"/>
  <c r="E373" i="3"/>
  <c r="G372" i="3"/>
  <c r="F372" i="3"/>
  <c r="E372" i="3"/>
  <c r="G371" i="3"/>
  <c r="F371" i="3"/>
  <c r="E371" i="3"/>
  <c r="G370" i="3"/>
  <c r="F370" i="3"/>
  <c r="E370" i="3"/>
  <c r="G369" i="3"/>
  <c r="F369" i="3"/>
  <c r="E369" i="3"/>
  <c r="G368" i="3"/>
  <c r="F368" i="3"/>
  <c r="E368" i="3"/>
  <c r="G367" i="3"/>
  <c r="F367" i="3"/>
  <c r="E367" i="3"/>
  <c r="G366" i="3"/>
  <c r="F366" i="3"/>
  <c r="E366" i="3"/>
  <c r="G365" i="3"/>
  <c r="F365" i="3"/>
  <c r="E365" i="3"/>
  <c r="G364" i="3"/>
  <c r="F364" i="3"/>
  <c r="E364" i="3"/>
  <c r="G363" i="3"/>
  <c r="F363" i="3"/>
  <c r="E363" i="3"/>
  <c r="G362" i="3"/>
  <c r="F362" i="3"/>
  <c r="E362" i="3"/>
  <c r="G361" i="3"/>
  <c r="F361" i="3"/>
  <c r="E361" i="3"/>
  <c r="G360" i="3"/>
  <c r="F360" i="3"/>
  <c r="E360" i="3"/>
  <c r="G359" i="3"/>
  <c r="F359" i="3"/>
  <c r="E359" i="3"/>
  <c r="G358" i="3"/>
  <c r="F358" i="3"/>
  <c r="E358" i="3"/>
  <c r="G357" i="3"/>
  <c r="F357" i="3"/>
  <c r="E357" i="3"/>
  <c r="G356" i="3"/>
  <c r="F356" i="3"/>
  <c r="E356" i="3"/>
  <c r="G355" i="3"/>
  <c r="F355" i="3"/>
  <c r="E355" i="3"/>
  <c r="G354" i="3"/>
  <c r="F354" i="3"/>
  <c r="E354" i="3"/>
  <c r="G353" i="3"/>
  <c r="F353" i="3"/>
  <c r="E353" i="3"/>
  <c r="G352" i="3"/>
  <c r="F352" i="3"/>
  <c r="E352" i="3"/>
  <c r="G351" i="3"/>
  <c r="F351" i="3"/>
  <c r="E351" i="3"/>
  <c r="G350" i="3"/>
  <c r="F350" i="3"/>
  <c r="E350" i="3"/>
  <c r="G349" i="3"/>
  <c r="F349" i="3"/>
  <c r="E349" i="3"/>
  <c r="G348" i="3"/>
  <c r="F348" i="3"/>
  <c r="E348" i="3"/>
  <c r="G347" i="3"/>
  <c r="F347" i="3"/>
  <c r="E347" i="3"/>
  <c r="G346" i="3"/>
  <c r="F346" i="3"/>
  <c r="E346" i="3"/>
  <c r="G345" i="3"/>
  <c r="F345" i="3"/>
  <c r="E345" i="3"/>
  <c r="G344" i="3"/>
  <c r="F344" i="3"/>
  <c r="E344" i="3"/>
  <c r="G343" i="3"/>
  <c r="F343" i="3"/>
  <c r="E343" i="3"/>
  <c r="G342" i="3"/>
  <c r="F342" i="3"/>
  <c r="E342" i="3"/>
  <c r="G341" i="3"/>
  <c r="F341" i="3"/>
  <c r="E341" i="3"/>
  <c r="G340" i="3"/>
  <c r="F340" i="3"/>
  <c r="E340" i="3"/>
  <c r="G339" i="3"/>
  <c r="F339" i="3"/>
  <c r="E339" i="3"/>
  <c r="G338" i="3"/>
  <c r="F338" i="3"/>
  <c r="E338" i="3"/>
  <c r="G337" i="3"/>
  <c r="F337" i="3"/>
  <c r="E337" i="3"/>
  <c r="G336" i="3"/>
  <c r="F336" i="3"/>
  <c r="E336" i="3"/>
  <c r="G335" i="3"/>
  <c r="F335" i="3"/>
  <c r="E335" i="3"/>
  <c r="G334" i="3"/>
  <c r="F334" i="3"/>
  <c r="E334" i="3"/>
  <c r="G333" i="3"/>
  <c r="F333" i="3"/>
  <c r="E333" i="3"/>
  <c r="G332" i="3"/>
  <c r="F332" i="3"/>
  <c r="E332" i="3"/>
  <c r="G331" i="3"/>
  <c r="F331" i="3"/>
  <c r="E331" i="3"/>
  <c r="G330" i="3"/>
  <c r="F330" i="3"/>
  <c r="E330" i="3"/>
  <c r="G329" i="3"/>
  <c r="F329" i="3"/>
  <c r="E329" i="3"/>
  <c r="G328" i="3"/>
  <c r="F328" i="3"/>
  <c r="E328" i="3"/>
  <c r="G327" i="3"/>
  <c r="F327" i="3"/>
  <c r="E327" i="3"/>
  <c r="G326" i="3"/>
  <c r="F326" i="3"/>
  <c r="E326" i="3"/>
  <c r="G325" i="3"/>
  <c r="F325" i="3"/>
  <c r="E325" i="3"/>
  <c r="G324" i="3"/>
  <c r="F324" i="3"/>
  <c r="E324" i="3"/>
  <c r="G323" i="3"/>
  <c r="F323" i="3"/>
  <c r="E323" i="3"/>
  <c r="G322" i="3"/>
  <c r="F322" i="3"/>
  <c r="E322" i="3"/>
  <c r="G321" i="3"/>
  <c r="F321" i="3"/>
  <c r="E321" i="3"/>
  <c r="G320" i="3"/>
  <c r="F320" i="3"/>
  <c r="E320" i="3"/>
  <c r="G319" i="3"/>
  <c r="F319" i="3"/>
  <c r="E319" i="3"/>
  <c r="G318" i="3"/>
  <c r="F318" i="3"/>
  <c r="E318" i="3"/>
  <c r="G317" i="3"/>
  <c r="F317" i="3"/>
  <c r="E317" i="3"/>
  <c r="G316" i="3"/>
  <c r="F316" i="3"/>
  <c r="E316" i="3"/>
  <c r="G315" i="3"/>
  <c r="F315" i="3"/>
  <c r="E315" i="3"/>
  <c r="G314" i="3"/>
  <c r="F314" i="3"/>
  <c r="E314" i="3"/>
  <c r="G313" i="3"/>
  <c r="F313" i="3"/>
  <c r="E313" i="3"/>
  <c r="G312" i="3"/>
  <c r="F312" i="3"/>
  <c r="E312" i="3"/>
  <c r="G311" i="3"/>
  <c r="F311" i="3"/>
  <c r="E311" i="3"/>
  <c r="G310" i="3"/>
  <c r="F310" i="3"/>
  <c r="E310" i="3"/>
  <c r="G309" i="3"/>
  <c r="F309" i="3"/>
  <c r="E309" i="3"/>
  <c r="G308" i="3"/>
  <c r="F308" i="3"/>
  <c r="E308" i="3"/>
  <c r="G307" i="3"/>
  <c r="F307" i="3"/>
  <c r="E307" i="3"/>
  <c r="G306" i="3"/>
  <c r="F306" i="3"/>
  <c r="E306" i="3"/>
  <c r="G305" i="3"/>
  <c r="F305" i="3"/>
  <c r="E305" i="3"/>
  <c r="G304" i="3"/>
  <c r="F304" i="3"/>
  <c r="E304" i="3"/>
  <c r="G303" i="3"/>
  <c r="F303" i="3"/>
  <c r="E303" i="3"/>
  <c r="G302" i="3"/>
  <c r="F302" i="3"/>
  <c r="E302" i="3"/>
  <c r="G301" i="3"/>
  <c r="F301" i="3"/>
  <c r="E301" i="3"/>
  <c r="G300" i="3"/>
  <c r="F300" i="3"/>
  <c r="E300" i="3"/>
  <c r="G299" i="3"/>
  <c r="F299" i="3"/>
  <c r="E299" i="3"/>
  <c r="G298" i="3"/>
  <c r="F298" i="3"/>
  <c r="E298" i="3"/>
  <c r="G297" i="3"/>
  <c r="F297" i="3"/>
  <c r="E297" i="3"/>
  <c r="G296" i="3"/>
  <c r="F296" i="3"/>
  <c r="E296" i="3"/>
  <c r="G295" i="3"/>
  <c r="F295" i="3"/>
  <c r="E295" i="3"/>
  <c r="G294" i="3"/>
  <c r="F294" i="3"/>
  <c r="E294" i="3"/>
  <c r="G293" i="3"/>
  <c r="F293" i="3"/>
  <c r="E293" i="3"/>
  <c r="G292" i="3"/>
  <c r="F292" i="3"/>
  <c r="E292" i="3"/>
  <c r="G291" i="3"/>
  <c r="F291" i="3"/>
  <c r="E291" i="3"/>
  <c r="G290" i="3"/>
  <c r="F290" i="3"/>
  <c r="E290" i="3"/>
  <c r="G289" i="3"/>
  <c r="F289" i="3"/>
  <c r="E289" i="3"/>
  <c r="G288" i="3"/>
  <c r="F288" i="3"/>
  <c r="E288" i="3"/>
  <c r="G287" i="3"/>
  <c r="F287" i="3"/>
  <c r="E287" i="3"/>
  <c r="G286" i="3"/>
  <c r="F286" i="3"/>
  <c r="E286" i="3"/>
  <c r="G285" i="3"/>
  <c r="F285" i="3"/>
  <c r="E285" i="3"/>
  <c r="G284" i="3"/>
  <c r="F284" i="3"/>
  <c r="E284" i="3"/>
  <c r="G283" i="3"/>
  <c r="F283" i="3"/>
  <c r="E283" i="3"/>
  <c r="G282" i="3"/>
  <c r="F282" i="3"/>
  <c r="E282" i="3"/>
  <c r="G281" i="3"/>
  <c r="F281" i="3"/>
  <c r="E281" i="3"/>
  <c r="G280" i="3"/>
  <c r="F280" i="3"/>
  <c r="E280" i="3"/>
  <c r="G279" i="3"/>
  <c r="F279" i="3"/>
  <c r="E279" i="3"/>
  <c r="G278" i="3"/>
  <c r="F278" i="3"/>
  <c r="E278" i="3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E268" i="3"/>
  <c r="G267" i="3"/>
  <c r="F267" i="3"/>
  <c r="E267" i="3"/>
  <c r="G266" i="3"/>
  <c r="F266" i="3"/>
  <c r="E266" i="3"/>
  <c r="G265" i="3"/>
  <c r="F265" i="3"/>
  <c r="E265" i="3"/>
  <c r="G264" i="3"/>
  <c r="F264" i="3"/>
  <c r="E264" i="3"/>
  <c r="G263" i="3"/>
  <c r="F263" i="3"/>
  <c r="E263" i="3"/>
  <c r="G262" i="3"/>
  <c r="F262" i="3"/>
  <c r="E262" i="3"/>
  <c r="G261" i="3"/>
  <c r="F261" i="3"/>
  <c r="E261" i="3"/>
  <c r="G260" i="3"/>
  <c r="F260" i="3"/>
  <c r="E260" i="3"/>
  <c r="G259" i="3"/>
  <c r="F259" i="3"/>
  <c r="E259" i="3"/>
  <c r="G258" i="3"/>
  <c r="F258" i="3"/>
  <c r="E258" i="3"/>
  <c r="G257" i="3"/>
  <c r="F257" i="3"/>
  <c r="E257" i="3"/>
  <c r="G256" i="3"/>
  <c r="F256" i="3"/>
  <c r="E256" i="3"/>
  <c r="G255" i="3"/>
  <c r="F255" i="3"/>
  <c r="E255" i="3"/>
  <c r="G254" i="3"/>
  <c r="F254" i="3"/>
  <c r="E254" i="3"/>
  <c r="G253" i="3"/>
  <c r="F253" i="3"/>
  <c r="E253" i="3"/>
  <c r="G252" i="3"/>
  <c r="F252" i="3"/>
  <c r="E252" i="3"/>
  <c r="G251" i="3"/>
  <c r="F251" i="3"/>
  <c r="E251" i="3"/>
  <c r="G250" i="3"/>
  <c r="F250" i="3"/>
  <c r="E250" i="3"/>
  <c r="G249" i="3"/>
  <c r="F249" i="3"/>
  <c r="E249" i="3"/>
  <c r="G248" i="3"/>
  <c r="F248" i="3"/>
  <c r="E248" i="3"/>
  <c r="G247" i="3"/>
  <c r="F247" i="3"/>
  <c r="E247" i="3"/>
  <c r="G246" i="3"/>
  <c r="F246" i="3"/>
  <c r="E246" i="3"/>
  <c r="G245" i="3"/>
  <c r="F245" i="3"/>
  <c r="E245" i="3"/>
  <c r="G244" i="3"/>
  <c r="F244" i="3"/>
  <c r="E244" i="3"/>
  <c r="G243" i="3"/>
  <c r="F243" i="3"/>
  <c r="E243" i="3"/>
  <c r="G242" i="3"/>
  <c r="F242" i="3"/>
  <c r="E242" i="3"/>
  <c r="G241" i="3"/>
  <c r="F241" i="3"/>
  <c r="E241" i="3"/>
  <c r="G240" i="3"/>
  <c r="F240" i="3"/>
  <c r="E240" i="3"/>
  <c r="G239" i="3"/>
  <c r="F239" i="3"/>
  <c r="E239" i="3"/>
  <c r="G238" i="3"/>
  <c r="F238" i="3"/>
  <c r="E238" i="3"/>
  <c r="G237" i="3"/>
  <c r="F237" i="3"/>
  <c r="E237" i="3"/>
  <c r="G236" i="3"/>
  <c r="F236" i="3"/>
  <c r="E236" i="3"/>
  <c r="G235" i="3"/>
  <c r="F235" i="3"/>
  <c r="E235" i="3"/>
  <c r="G234" i="3"/>
  <c r="F234" i="3"/>
  <c r="E234" i="3"/>
  <c r="G233" i="3"/>
  <c r="F233" i="3"/>
  <c r="E233" i="3"/>
  <c r="G232" i="3"/>
  <c r="F232" i="3"/>
  <c r="E232" i="3"/>
  <c r="G231" i="3"/>
  <c r="F231" i="3"/>
  <c r="E231" i="3"/>
  <c r="G230" i="3"/>
  <c r="F230" i="3"/>
  <c r="E230" i="3"/>
  <c r="G229" i="3"/>
  <c r="F229" i="3"/>
  <c r="E229" i="3"/>
  <c r="G228" i="3"/>
  <c r="F228" i="3"/>
  <c r="E228" i="3"/>
  <c r="G227" i="3"/>
  <c r="F227" i="3"/>
  <c r="E227" i="3"/>
  <c r="G226" i="3"/>
  <c r="F226" i="3"/>
  <c r="E226" i="3"/>
  <c r="G225" i="3"/>
  <c r="F225" i="3"/>
  <c r="E225" i="3"/>
  <c r="G224" i="3"/>
  <c r="F224" i="3"/>
  <c r="E224" i="3"/>
  <c r="G223" i="3"/>
  <c r="F223" i="3"/>
  <c r="E223" i="3"/>
  <c r="G222" i="3"/>
  <c r="F222" i="3"/>
  <c r="E222" i="3"/>
  <c r="G221" i="3"/>
  <c r="F221" i="3"/>
  <c r="E221" i="3"/>
  <c r="G220" i="3"/>
  <c r="F220" i="3"/>
  <c r="E220" i="3"/>
  <c r="G219" i="3"/>
  <c r="F219" i="3"/>
  <c r="E219" i="3"/>
  <c r="G218" i="3"/>
  <c r="F218" i="3"/>
  <c r="E218" i="3"/>
  <c r="G217" i="3"/>
  <c r="F217" i="3"/>
  <c r="E217" i="3"/>
  <c r="G216" i="3"/>
  <c r="F216" i="3"/>
  <c r="E216" i="3"/>
  <c r="G215" i="3"/>
  <c r="F215" i="3"/>
  <c r="E215" i="3"/>
  <c r="G214" i="3"/>
  <c r="F214" i="3"/>
  <c r="E214" i="3"/>
  <c r="G213" i="3"/>
  <c r="F213" i="3"/>
  <c r="E213" i="3"/>
  <c r="G212" i="3"/>
  <c r="F212" i="3"/>
  <c r="E212" i="3"/>
  <c r="G211" i="3"/>
  <c r="F211" i="3"/>
  <c r="E211" i="3"/>
  <c r="G210" i="3"/>
  <c r="F210" i="3"/>
  <c r="E210" i="3"/>
  <c r="G209" i="3"/>
  <c r="F209" i="3"/>
  <c r="E209" i="3"/>
  <c r="G208" i="3"/>
  <c r="F208" i="3"/>
  <c r="E208" i="3"/>
  <c r="G207" i="3"/>
  <c r="F207" i="3"/>
  <c r="E207" i="3"/>
  <c r="G206" i="3"/>
  <c r="F206" i="3"/>
  <c r="E206" i="3"/>
  <c r="G205" i="3"/>
  <c r="F205" i="3"/>
  <c r="E205" i="3"/>
  <c r="G204" i="3"/>
  <c r="F204" i="3"/>
  <c r="E204" i="3"/>
  <c r="G203" i="3"/>
  <c r="F203" i="3"/>
  <c r="E203" i="3"/>
  <c r="G202" i="3"/>
  <c r="F202" i="3"/>
  <c r="E202" i="3"/>
  <c r="G201" i="3"/>
  <c r="F201" i="3"/>
  <c r="E201" i="3"/>
  <c r="G200" i="3"/>
  <c r="F200" i="3"/>
  <c r="E200" i="3"/>
  <c r="G199" i="3"/>
  <c r="F199" i="3"/>
  <c r="E199" i="3"/>
  <c r="G198" i="3"/>
  <c r="F198" i="3"/>
  <c r="E198" i="3"/>
  <c r="G197" i="3"/>
  <c r="F197" i="3"/>
  <c r="E197" i="3"/>
  <c r="G196" i="3"/>
  <c r="F196" i="3"/>
  <c r="E196" i="3"/>
  <c r="G195" i="3"/>
  <c r="F195" i="3"/>
  <c r="E195" i="3"/>
  <c r="G194" i="3"/>
  <c r="F194" i="3"/>
  <c r="E194" i="3"/>
  <c r="G193" i="3"/>
  <c r="F193" i="3"/>
  <c r="E193" i="3"/>
  <c r="G192" i="3"/>
  <c r="F192" i="3"/>
  <c r="E192" i="3"/>
  <c r="G191" i="3"/>
  <c r="F191" i="3"/>
  <c r="E191" i="3"/>
  <c r="G190" i="3"/>
  <c r="F190" i="3"/>
  <c r="E190" i="3"/>
  <c r="G189" i="3"/>
  <c r="F189" i="3"/>
  <c r="E189" i="3"/>
  <c r="G188" i="3"/>
  <c r="F188" i="3"/>
  <c r="E188" i="3"/>
  <c r="G187" i="3"/>
  <c r="F187" i="3"/>
  <c r="E187" i="3"/>
  <c r="G186" i="3"/>
  <c r="F186" i="3"/>
  <c r="E186" i="3"/>
  <c r="G185" i="3"/>
  <c r="F185" i="3"/>
  <c r="E185" i="3"/>
  <c r="G184" i="3"/>
  <c r="F184" i="3"/>
  <c r="E184" i="3"/>
  <c r="G183" i="3"/>
  <c r="F183" i="3"/>
  <c r="E183" i="3"/>
  <c r="G182" i="3"/>
  <c r="F182" i="3"/>
  <c r="E182" i="3"/>
  <c r="G181" i="3"/>
  <c r="F181" i="3"/>
  <c r="E181" i="3"/>
  <c r="G180" i="3"/>
  <c r="F180" i="3"/>
  <c r="E180" i="3"/>
  <c r="G179" i="3"/>
  <c r="F179" i="3"/>
  <c r="E179" i="3"/>
  <c r="G178" i="3"/>
  <c r="F178" i="3"/>
  <c r="E178" i="3"/>
  <c r="G177" i="3"/>
  <c r="F177" i="3"/>
  <c r="E177" i="3"/>
  <c r="G176" i="3"/>
  <c r="F176" i="3"/>
  <c r="E176" i="3"/>
  <c r="G175" i="3"/>
  <c r="F175" i="3"/>
  <c r="E175" i="3"/>
  <c r="G174" i="3"/>
  <c r="F174" i="3"/>
  <c r="E174" i="3"/>
  <c r="G173" i="3"/>
  <c r="F173" i="3"/>
  <c r="E173" i="3"/>
  <c r="G172" i="3"/>
  <c r="F172" i="3"/>
  <c r="E172" i="3"/>
  <c r="G171" i="3"/>
  <c r="F171" i="3"/>
  <c r="E171" i="3"/>
  <c r="G170" i="3"/>
  <c r="F170" i="3"/>
  <c r="E170" i="3"/>
  <c r="G169" i="3"/>
  <c r="F169" i="3"/>
  <c r="E169" i="3"/>
  <c r="G168" i="3"/>
  <c r="F168" i="3"/>
  <c r="E168" i="3"/>
  <c r="G167" i="3"/>
  <c r="F167" i="3"/>
  <c r="E167" i="3"/>
  <c r="G166" i="3"/>
  <c r="F166" i="3"/>
  <c r="E166" i="3"/>
  <c r="G165" i="3"/>
  <c r="F165" i="3"/>
  <c r="E165" i="3"/>
  <c r="G164" i="3"/>
  <c r="F164" i="3"/>
  <c r="E164" i="3"/>
  <c r="G163" i="3"/>
  <c r="F163" i="3"/>
  <c r="E163" i="3"/>
  <c r="G162" i="3"/>
  <c r="F162" i="3"/>
  <c r="E162" i="3"/>
  <c r="G161" i="3"/>
  <c r="F161" i="3"/>
  <c r="E161" i="3"/>
  <c r="G160" i="3"/>
  <c r="F160" i="3"/>
  <c r="E160" i="3"/>
  <c r="G159" i="3"/>
  <c r="F159" i="3"/>
  <c r="E159" i="3"/>
  <c r="G158" i="3"/>
  <c r="F158" i="3"/>
  <c r="E158" i="3"/>
  <c r="G157" i="3"/>
  <c r="F157" i="3"/>
  <c r="E157" i="3"/>
  <c r="G156" i="3"/>
  <c r="F156" i="3"/>
  <c r="E156" i="3"/>
  <c r="G155" i="3"/>
  <c r="F155" i="3"/>
  <c r="E155" i="3"/>
  <c r="G154" i="3"/>
  <c r="F154" i="3"/>
  <c r="E154" i="3"/>
  <c r="G153" i="3"/>
  <c r="F153" i="3"/>
  <c r="E153" i="3"/>
  <c r="G152" i="3"/>
  <c r="F152" i="3"/>
  <c r="E152" i="3"/>
  <c r="G151" i="3"/>
  <c r="F151" i="3"/>
  <c r="E151" i="3"/>
  <c r="G150" i="3"/>
  <c r="F150" i="3"/>
  <c r="E150" i="3"/>
  <c r="G149" i="3"/>
  <c r="F149" i="3"/>
  <c r="E149" i="3"/>
  <c r="G148" i="3"/>
  <c r="F148" i="3"/>
  <c r="E148" i="3"/>
  <c r="G147" i="3"/>
  <c r="F147" i="3"/>
  <c r="E147" i="3"/>
  <c r="G146" i="3"/>
  <c r="F146" i="3"/>
  <c r="E146" i="3"/>
  <c r="G145" i="3"/>
  <c r="F145" i="3"/>
  <c r="E145" i="3"/>
  <c r="G144" i="3"/>
  <c r="F144" i="3"/>
  <c r="E144" i="3"/>
  <c r="G143" i="3"/>
  <c r="F143" i="3"/>
  <c r="E143" i="3"/>
  <c r="G142" i="3"/>
  <c r="F142" i="3"/>
  <c r="E142" i="3"/>
  <c r="G141" i="3"/>
  <c r="F141" i="3"/>
  <c r="E141" i="3"/>
  <c r="G140" i="3"/>
  <c r="F140" i="3"/>
  <c r="E140" i="3"/>
  <c r="G139" i="3"/>
  <c r="F139" i="3"/>
  <c r="E139" i="3"/>
  <c r="G138" i="3"/>
  <c r="F138" i="3"/>
  <c r="E138" i="3"/>
  <c r="G137" i="3"/>
  <c r="F137" i="3"/>
  <c r="E137" i="3"/>
  <c r="G136" i="3"/>
  <c r="F136" i="3"/>
  <c r="E136" i="3"/>
  <c r="G135" i="3"/>
  <c r="F135" i="3"/>
  <c r="E135" i="3"/>
  <c r="G134" i="3"/>
  <c r="F134" i="3"/>
  <c r="E134" i="3"/>
  <c r="G133" i="3"/>
  <c r="F133" i="3"/>
  <c r="E133" i="3"/>
  <c r="G132" i="3"/>
  <c r="F132" i="3"/>
  <c r="E132" i="3"/>
  <c r="G131" i="3"/>
  <c r="F131" i="3"/>
  <c r="E131" i="3"/>
  <c r="G130" i="3"/>
  <c r="F130" i="3"/>
  <c r="E130" i="3"/>
  <c r="G129" i="3"/>
  <c r="F129" i="3"/>
  <c r="E129" i="3"/>
  <c r="G128" i="3"/>
  <c r="F128" i="3"/>
  <c r="E128" i="3"/>
  <c r="G127" i="3"/>
  <c r="F127" i="3"/>
  <c r="E127" i="3"/>
  <c r="G126" i="3"/>
  <c r="F126" i="3"/>
  <c r="E126" i="3"/>
  <c r="G125" i="3"/>
  <c r="F125" i="3"/>
  <c r="E125" i="3"/>
  <c r="G124" i="3"/>
  <c r="F124" i="3"/>
  <c r="E124" i="3"/>
  <c r="G123" i="3"/>
  <c r="F123" i="3"/>
  <c r="E123" i="3"/>
  <c r="G122" i="3"/>
  <c r="F122" i="3"/>
  <c r="E122" i="3"/>
  <c r="G121" i="3"/>
  <c r="F121" i="3"/>
  <c r="E121" i="3"/>
  <c r="G120" i="3"/>
  <c r="F120" i="3"/>
  <c r="E120" i="3"/>
  <c r="G119" i="3"/>
  <c r="F119" i="3"/>
  <c r="E119" i="3"/>
  <c r="G118" i="3"/>
  <c r="F118" i="3"/>
  <c r="E118" i="3"/>
  <c r="G117" i="3"/>
  <c r="F117" i="3"/>
  <c r="E117" i="3"/>
  <c r="G116" i="3"/>
  <c r="F116" i="3"/>
  <c r="E116" i="3"/>
  <c r="G115" i="3"/>
  <c r="F115" i="3"/>
  <c r="E115" i="3"/>
  <c r="G114" i="3"/>
  <c r="F114" i="3"/>
  <c r="E114" i="3"/>
  <c r="G113" i="3"/>
  <c r="F113" i="3"/>
  <c r="E113" i="3"/>
  <c r="G112" i="3"/>
  <c r="F112" i="3"/>
  <c r="E112" i="3"/>
  <c r="G111" i="3"/>
  <c r="F111" i="3"/>
  <c r="E111" i="3"/>
  <c r="G110" i="3"/>
  <c r="F110" i="3"/>
  <c r="E110" i="3"/>
  <c r="G109" i="3"/>
  <c r="F109" i="3"/>
  <c r="E109" i="3"/>
  <c r="G108" i="3"/>
  <c r="F108" i="3"/>
  <c r="E108" i="3"/>
  <c r="G107" i="3"/>
  <c r="F107" i="3"/>
  <c r="E107" i="3"/>
  <c r="G106" i="3"/>
  <c r="F106" i="3"/>
  <c r="E106" i="3"/>
  <c r="G105" i="3"/>
  <c r="F105" i="3"/>
  <c r="E105" i="3"/>
  <c r="G104" i="3"/>
  <c r="F104" i="3"/>
  <c r="E104" i="3"/>
  <c r="G103" i="3"/>
  <c r="F103" i="3"/>
  <c r="E103" i="3"/>
  <c r="G102" i="3"/>
  <c r="F102" i="3"/>
  <c r="E102" i="3"/>
  <c r="G101" i="3"/>
  <c r="F101" i="3"/>
  <c r="E101" i="3"/>
  <c r="G100" i="3"/>
  <c r="F100" i="3"/>
  <c r="E100" i="3"/>
  <c r="G99" i="3"/>
  <c r="F99" i="3"/>
  <c r="E99" i="3"/>
  <c r="G98" i="3"/>
  <c r="F98" i="3"/>
  <c r="E98" i="3"/>
  <c r="G97" i="3"/>
  <c r="F97" i="3"/>
  <c r="E97" i="3"/>
  <c r="G96" i="3"/>
  <c r="F96" i="3"/>
  <c r="E96" i="3"/>
  <c r="G95" i="3"/>
  <c r="F95" i="3"/>
  <c r="E95" i="3"/>
  <c r="G94" i="3"/>
  <c r="F94" i="3"/>
  <c r="E94" i="3"/>
  <c r="G93" i="3"/>
  <c r="F93" i="3"/>
  <c r="E93" i="3"/>
  <c r="G92" i="3"/>
  <c r="F92" i="3"/>
  <c r="E92" i="3"/>
  <c r="G91" i="3"/>
  <c r="F91" i="3"/>
  <c r="E91" i="3"/>
  <c r="G90" i="3"/>
  <c r="F90" i="3"/>
  <c r="E90" i="3"/>
  <c r="G89" i="3"/>
  <c r="F89" i="3"/>
  <c r="E89" i="3"/>
  <c r="G88" i="3"/>
  <c r="F88" i="3"/>
  <c r="E88" i="3"/>
  <c r="G87" i="3"/>
  <c r="F87" i="3"/>
  <c r="E87" i="3"/>
  <c r="G86" i="3"/>
  <c r="F86" i="3"/>
  <c r="E86" i="3"/>
  <c r="G85" i="3"/>
  <c r="F85" i="3"/>
  <c r="E85" i="3"/>
  <c r="G84" i="3"/>
  <c r="F84" i="3"/>
  <c r="E84" i="3"/>
  <c r="G83" i="3"/>
  <c r="F83" i="3"/>
  <c r="E83" i="3"/>
  <c r="G82" i="3"/>
  <c r="F82" i="3"/>
  <c r="E82" i="3"/>
  <c r="G81" i="3"/>
  <c r="F81" i="3"/>
  <c r="E81" i="3"/>
  <c r="G80" i="3"/>
  <c r="F80" i="3"/>
  <c r="E80" i="3"/>
  <c r="G79" i="3"/>
  <c r="F79" i="3"/>
  <c r="E79" i="3"/>
  <c r="G78" i="3"/>
  <c r="F78" i="3"/>
  <c r="E78" i="3"/>
  <c r="G77" i="3"/>
  <c r="F77" i="3"/>
  <c r="E77" i="3"/>
  <c r="G76" i="3"/>
  <c r="F76" i="3"/>
  <c r="E76" i="3"/>
  <c r="G75" i="3"/>
  <c r="F75" i="3"/>
  <c r="E75" i="3"/>
  <c r="G74" i="3"/>
  <c r="F74" i="3"/>
  <c r="E74" i="3"/>
  <c r="G73" i="3"/>
  <c r="F73" i="3"/>
  <c r="E73" i="3"/>
  <c r="G72" i="3"/>
  <c r="F72" i="3"/>
  <c r="E72" i="3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G66" i="3"/>
  <c r="F66" i="3"/>
  <c r="E66" i="3"/>
  <c r="G65" i="3"/>
  <c r="F65" i="3"/>
  <c r="E65" i="3"/>
  <c r="G64" i="3"/>
  <c r="F64" i="3"/>
  <c r="E64" i="3"/>
  <c r="G63" i="3"/>
  <c r="F63" i="3"/>
  <c r="E63" i="3"/>
  <c r="G62" i="3"/>
  <c r="F62" i="3"/>
  <c r="E62" i="3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G2" i="3"/>
  <c r="F2" i="3"/>
  <c r="E2" i="3"/>
  <c r="D16" i="1"/>
  <c r="D15" i="1"/>
  <c r="C15" i="1"/>
  <c r="H10" i="1"/>
  <c r="J10" i="1" s="1"/>
  <c r="H9" i="1"/>
  <c r="J9" i="1" s="1"/>
  <c r="H8" i="1"/>
  <c r="J8" i="1" s="1"/>
  <c r="H11" i="1" l="1"/>
  <c r="J11" i="1" s="1"/>
</calcChain>
</file>

<file path=xl/sharedStrings.xml><?xml version="1.0" encoding="utf-8"?>
<sst xmlns="http://schemas.openxmlformats.org/spreadsheetml/2006/main" count="700" uniqueCount="35">
  <si>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</si>
  <si>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</si>
  <si>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</si>
  <si>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</si>
  <si>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</si>
  <si>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</si>
  <si>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</si>
  <si>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</si>
  <si>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</si>
  <si>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</si>
  <si>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</si>
  <si>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</si>
  <si>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</si>
  <si>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</si>
  <si>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</si>
  <si>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</si>
  <si>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</si>
  <si>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</si>
  <si>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</si>
  <si>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</si>
  <si>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</si>
  <si>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</si>
  <si>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ID client</t>
  </si>
  <si>
    <t>Temps d'achat</t>
  </si>
  <si>
    <t>Montant</t>
  </si>
  <si>
    <t>Categorie</t>
  </si>
  <si>
    <t>ID Client</t>
  </si>
  <si>
    <t>Nombre d'achats</t>
  </si>
  <si>
    <t>Chiffre d'affaires</t>
  </si>
  <si>
    <t>Grand Total</t>
  </si>
  <si>
    <t>Column Labels</t>
  </si>
  <si>
    <t>Total Nombre d'achats</t>
  </si>
  <si>
    <t>Total Chiffre d'affaires</t>
  </si>
  <si>
    <t>Chiffre d'affaires bien conso.</t>
  </si>
  <si>
    <t>Chiffre d'affaires nourriture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</si>
</sst>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"/>
    <numFmt numFmtId="165" formatCode="_-* #,##0.00&quot; €&quot;_-;\-* #,##0.00&quot; €&quot;_-;_-* \-??&quot; €&quot;_-;_-@"/>
  </numFmts>
  <fonts count="19" x14ac:knownFonts="1">
    <font>
      <sz val="11"/>
      <color rgb="FF000000"/>
      <name val="Calibri"/>
      <charset val="1"/>
    </font>
    <font>
      <b/>
      <i/>
      <sz val="26"/>
      <color rgb="FFFFFFFF"/>
      <name val="Calibri"/>
      <charset val="1"/>
    </font>
    <font>
      <b/>
      <sz val="12"/>
      <color rgb="FFFFFFFF"/>
      <name val="Calibri"/>
      <charset val="1"/>
    </font>
    <font>
      <b/>
      <sz val="14"/>
      <color rgb="FFFFFFFF"/>
      <name val="Calibri"/>
      <charset val="1"/>
    </font>
    <font>
      <sz val="12"/>
      <color rgb="FF000000"/>
      <name val="Calibri"/>
      <charset val="1"/>
    </font>
    <font>
      <sz val="12"/>
      <color rgb="FFED7D31"/>
      <name val="Calibri"/>
      <charset val="1"/>
    </font>
    <font>
      <b/>
      <sz val="12"/>
      <color rgb="FFED7D31"/>
      <name val="Calibri"/>
      <charset val="1"/>
    </font>
    <font>
      <b/>
      <sz val="11"/>
      <color rgb="FFFFFFFF"/>
      <name val="Calibri"/>
      <charset val="1"/>
    </font>
    <font>
      <sz val="11"/>
      <color rgb="FFED7D31"/>
      <name val="Calibri"/>
      <charset val="1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4"/>
      <color rgb="FF595959"/>
      <name val="Calibri"/>
      <family val="2"/>
    </font>
    <font>
      <sz val="20"/>
      <color rgb="FF595959"/>
      <name val="Calibri"/>
      <family val="2"/>
    </font>
    <font>
      <b/>
      <sz val="28"/>
      <color rgb="FF595959"/>
      <name val="Calibri"/>
      <family val="2"/>
    </font>
    <font>
      <b/>
      <sz val="3"/>
      <color theme="0"/>
      <name val="Calibri"/>
      <family val="2"/>
    </font>
    <font>
      <b/>
      <sz val="4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E75B5"/>
        <bgColor rgb="FF4472C4"/>
      </patternFill>
    </fill>
    <fill>
      <patternFill patternType="solid">
        <fgColor rgb="FF5B9BD5"/>
        <bgColor rgb="FF4472C4"/>
      </patternFill>
    </fill>
    <fill>
      <patternFill patternType="solid">
        <fgColor rgb="FFDEEAF6"/>
        <bgColor rgb="FFCCFFFF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rgb="FFFFFFF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2" borderId="0" xfId="0" applyFill="1"/>
    <xf numFmtId="0" fontId="4" fillId="2" borderId="5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164" fontId="5" fillId="2" borderId="5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64" fontId="2" fillId="4" borderId="15" xfId="0" applyNumberFormat="1" applyFont="1" applyFill="1" applyBorder="1" applyAlignment="1">
      <alignment horizontal="center" vertical="center"/>
    </xf>
    <xf numFmtId="164" fontId="2" fillId="4" borderId="16" xfId="0" applyNumberFormat="1" applyFont="1" applyFill="1" applyBorder="1" applyAlignment="1">
      <alignment horizontal="center" vertical="center"/>
    </xf>
    <xf numFmtId="164" fontId="6" fillId="4" borderId="17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20" fontId="0" fillId="2" borderId="0" xfId="0" applyNumberFormat="1" applyFill="1"/>
    <xf numFmtId="0" fontId="0" fillId="2" borderId="18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0" fillId="0" borderId="0" xfId="0" pivotButton="1" applyAlignment="1">
      <alignment horizontal="center"/>
    </xf>
    <xf numFmtId="0" fontId="14" fillId="0" borderId="0" xfId="0" applyFont="1" applyAlignment="1">
      <alignment horizontal="center" vertical="center" readingOrder="1"/>
    </xf>
    <xf numFmtId="0" fontId="15" fillId="0" borderId="0" xfId="0" applyFont="1" applyAlignment="1">
      <alignment horizontal="center" vertical="center" readingOrder="1"/>
    </xf>
    <xf numFmtId="0" fontId="16" fillId="0" borderId="0" xfId="0" applyFont="1" applyAlignment="1">
      <alignment horizontal="center" vertical="center" readingOrder="1"/>
    </xf>
    <xf numFmtId="0" fontId="9" fillId="6" borderId="11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165" fontId="0" fillId="9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165" fontId="0" fillId="11" borderId="11" xfId="0" applyNumberFormat="1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165" fontId="0" fillId="13" borderId="11" xfId="0" applyNumberFormat="1" applyFill="1" applyBorder="1" applyAlignment="1">
      <alignment horizontal="center"/>
    </xf>
    <xf numFmtId="165" fontId="9" fillId="8" borderId="11" xfId="0" applyNumberFormat="1" applyFont="1" applyFill="1" applyBorder="1" applyAlignment="1">
      <alignment horizontal="center"/>
    </xf>
    <xf numFmtId="165" fontId="9" fillId="10" borderId="11" xfId="0" applyNumberFormat="1" applyFont="1" applyFill="1" applyBorder="1" applyAlignment="1">
      <alignment horizontal="center"/>
    </xf>
    <xf numFmtId="165" fontId="9" fillId="12" borderId="11" xfId="0" applyNumberFormat="1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165" fontId="10" fillId="14" borderId="0" xfId="0" applyNumberFormat="1" applyFont="1" applyFill="1" applyAlignment="1">
      <alignment horizontal="center"/>
    </xf>
    <xf numFmtId="0" fontId="0" fillId="0" borderId="26" xfId="0" applyBorder="1"/>
    <xf numFmtId="0" fontId="9" fillId="14" borderId="25" xfId="0" applyFont="1" applyFill="1" applyBorder="1" applyAlignment="1">
      <alignment horizontal="center"/>
    </xf>
    <xf numFmtId="165" fontId="10" fillId="14" borderId="25" xfId="0" applyNumberFormat="1" applyFont="1" applyFill="1" applyBorder="1" applyAlignment="1">
      <alignment horizontal="center"/>
    </xf>
    <xf numFmtId="0" fontId="0" fillId="0" borderId="27" xfId="0" applyBorder="1"/>
    <xf numFmtId="0" fontId="10" fillId="14" borderId="28" xfId="0" applyFont="1" applyFill="1" applyBorder="1" applyAlignment="1">
      <alignment horizontal="center"/>
    </xf>
    <xf numFmtId="0" fontId="10" fillId="14" borderId="25" xfId="0" applyFont="1" applyFill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5" fontId="10" fillId="14" borderId="33" xfId="0" applyNumberFormat="1" applyFont="1" applyFill="1" applyBorder="1" applyAlignment="1">
      <alignment horizontal="center"/>
    </xf>
    <xf numFmtId="165" fontId="10" fillId="14" borderId="26" xfId="0" applyNumberFormat="1" applyFont="1" applyFill="1" applyBorder="1" applyAlignment="1">
      <alignment horizontal="center"/>
    </xf>
    <xf numFmtId="165" fontId="10" fillId="14" borderId="37" xfId="0" applyNumberFormat="1" applyFont="1" applyFill="1" applyBorder="1" applyAlignment="1">
      <alignment horizontal="center"/>
    </xf>
    <xf numFmtId="165" fontId="10" fillId="14" borderId="28" xfId="0" applyNumberFormat="1" applyFont="1" applyFill="1" applyBorder="1" applyAlignment="1">
      <alignment horizontal="center"/>
    </xf>
    <xf numFmtId="0" fontId="17" fillId="14" borderId="25" xfId="0" applyFont="1" applyFill="1" applyBorder="1" applyAlignment="1">
      <alignment horizontal="center" vertical="center" wrapText="1"/>
    </xf>
    <xf numFmtId="0" fontId="18" fillId="14" borderId="3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/>
    </xf>
  </cellXfs>
  <cellStyles count="1">
    <cellStyle name="Normal" xfId="0" builtinId="0"/>
  </cellStyles>
  <dxfs count="5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8F8F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7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ont>
        <color theme="0"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5B9BD5"/>
      <rgbColor rgb="FF993366"/>
      <rgbColor rgb="FFFFFFCC"/>
      <rgbColor rgb="FFDEEAF6"/>
      <rgbColor rgb="FF660066"/>
      <rgbColor rgb="FFFF8080"/>
      <rgbColor rgb="FF2E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320"/>
      <rgbColor rgb="FFFF9900"/>
      <rgbColor rgb="FFED7D31"/>
      <rgbColor rgb="FF666699"/>
      <rgbColor rgb="FF70AD47"/>
      <rgbColor rgb="FF00336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##0" 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0-4FB8-AF3B-431AD4B9E900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##0" 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0-4FB8-AF3B-431AD4B9E900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##0" 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0-4FB8-AF3B-431AD4B9E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488594"/>
        <c:axId val="6147019"/>
      </c:lineChart>
      <c:catAx>
        <c:axId val="90488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1" strike="noStrike" spc="-1">
                    <a:latin typeface="Arial"/>
                  </a:defRPr>
                </a:pPr>
                <a:r>
                  <a:rPr lang="fr-FR" sz="900" b="1" strike="noStrike" spc="-1">
                    <a:latin typeface="Arial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fr-FR"/>
          </a:p>
        </c:txPr>
        <c:crossAx val="6147019"/>
        <c:crosses val="autoZero"/>
        <c:auto val="1"/>
        <c:lblAlgn val="ctr"/>
        <c:lblOffset val="100"/>
        <c:noMultiLvlLbl val="0"/>
      </c:catAx>
      <c:valAx>
        <c:axId val="61470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1" strike="noStrike" spc="-1">
                    <a:latin typeface="Arial"/>
                  </a:defRPr>
                </a:pPr>
                <a:r>
                  <a:rPr lang="fr-FR" sz="900" b="1" strike="noStrike" spc="-1">
                    <a:latin typeface="Arial"/>
                  </a:rPr>
                  <a:t>Chiffre d'affaires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fr-FR"/>
          </a:p>
        </c:txPr>
        <c:crossAx val="90488594"/>
        <c:crosses val="autoZero"/>
        <c:crossBetween val="midCat"/>
      </c:valAx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##0.00" €"_-;\-* #\ ##0.00" €"_-;_-* \-??" 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4-4209-B0FC-049A901E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782128"/>
        <c:axId val="1348791248"/>
      </c:scatterChart>
      <c:valAx>
        <c:axId val="134878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Temps passé sur le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8791248"/>
        <c:crosses val="autoZero"/>
        <c:crossBetween val="midCat"/>
      </c:valAx>
      <c:valAx>
        <c:axId val="13487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&quot; €&quot;_-;\-* #\ ##0.00&quot; €&quot;_-;_-* \-??&quot; 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878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330012951204372"/>
          <c:y val="0.27998932798094128"/>
          <c:w val="0.25972795295631468"/>
          <c:h val="0.571835699176319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F5-4E2F-A315-5D82477738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F5-4E2F-A315-5D82477738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F5-4E2F-A315-5D824777384A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955941-0E2D-4C78-9694-2FA062F76540}" type="CATEGORYNAME">
                      <a:rPr lang="en-US" sz="1600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05485773-4AEC-4F96-9004-6D2571133E17}" type="PERCENTAGE">
                      <a:rPr lang="en-US" sz="1600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908225429883118"/>
                      <c:h val="0.1315607191589290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1F5-4E2F-A315-5D824777384A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4F24970-07CA-4E0F-8AE0-4F10CF1571C7}" type="CATEGORYNAME">
                      <a:rPr lang="en-US" sz="2400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BAAEC883-872B-4CC0-80DE-080B7312B4F3}" type="PERCENTAGE">
                      <a:rPr lang="en-US" sz="2400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704092684223805"/>
                      <c:h val="0.220728246820280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1F5-4E2F-A315-5D824777384A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5881815974905984E-2"/>
                      <c:h val="7.58310143705845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1F5-4E2F-A315-5D824777384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##0" 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6-4299-952C-CCDEBDBBB5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471454134439801"/>
          <c:y val="3.6224088704137361E-2"/>
          <c:w val="0.40677395026083785"/>
          <c:h val="9.9965487076522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692038495188106E-2"/>
          <c:y val="0.1388888888888889"/>
          <c:w val="0.87764129483814524"/>
          <c:h val="0.7361417322834645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'Tableau Client x Catégorie'!$C$99</c:f>
              <c:strCache>
                <c:ptCount val="1"/>
                <c:pt idx="0">
                  <c:v>Chiffre d'affaires bien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'Tableau Client x Catégorie'!$B$100:$B$110</c:f>
              <c:numCache>
                <c:formatCode>General</c:formatCode>
                <c:ptCount val="1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Catégorie'!$C$100:$C$109</c:f>
              <c:numCache>
                <c:formatCode>_-* #\ ##0.00" €"_-;\-* #\ ##0.00" €"_-;_-* \-??" 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3-481F-BA21-69AD5181890E}"/>
            </c:ext>
          </c:extLst>
        </c:ser>
        <c:ser>
          <c:idx val="2"/>
          <c:order val="1"/>
          <c:tx>
            <c:strRef>
              <c:f>'Tableau Client x Catégorie'!$D$99</c:f>
              <c:strCache>
                <c:ptCount val="1"/>
                <c:pt idx="0">
                  <c:v>Chiffre d'affaires nourriture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'Tableau Client x Catégorie'!$B$100:$B$110</c:f>
              <c:numCache>
                <c:formatCode>General</c:formatCode>
                <c:ptCount val="1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Catégorie'!$D$100:$D$109</c:f>
              <c:numCache>
                <c:formatCode>_-* #\ ##0.00" €"_-;\-* #\ ##0.00" €"_-;_-* \-??" 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3-481F-BA21-69AD518189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8658496"/>
        <c:axId val="928670496"/>
      </c:barChart>
      <c:catAx>
        <c:axId val="92865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8670496"/>
        <c:crosses val="autoZero"/>
        <c:auto val="1"/>
        <c:lblAlgn val="ctr"/>
        <c:lblOffset val="100"/>
        <c:noMultiLvlLbl val="0"/>
      </c:catAx>
      <c:valAx>
        <c:axId val="9286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&quot; €&quot;_-;\-* #\ ##0.00&quot; €&quot;_-;_-* \-??&quot; 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86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6190187764991"/>
          <c:y val="3.4790977530621534E-2"/>
          <c:w val="0.28433108254630562"/>
          <c:h val="4.7377914238707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##0" 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4-4141-9359-6E377A350C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7177231"/>
        <c:axId val="1297180111"/>
      </c:barChart>
      <c:catAx>
        <c:axId val="129717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Catégorie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7180111"/>
        <c:crosses val="autoZero"/>
        <c:auto val="1"/>
        <c:lblAlgn val="ctr"/>
        <c:lblOffset val="100"/>
        <c:noMultiLvlLbl val="0"/>
      </c:catAx>
      <c:valAx>
        <c:axId val="12971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&quot; 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717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48600</xdr:colOff>
      <xdr:row>20</xdr:row>
      <xdr:rowOff>74160</xdr:rowOff>
    </xdr:from>
    <xdr:to>
      <xdr:col>10</xdr:col>
      <xdr:colOff>3990</xdr:colOff>
      <xdr:row>42</xdr:row>
      <xdr:rowOff>195480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95</xdr:row>
      <xdr:rowOff>19050</xdr:rowOff>
    </xdr:from>
    <xdr:to>
      <xdr:col>9</xdr:col>
      <xdr:colOff>1104900</xdr:colOff>
      <xdr:row>117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EF0BB-C543-4D69-B9DF-568F5DE9B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14287</xdr:colOff>
      <xdr:row>120</xdr:row>
      <xdr:rowOff>23811</xdr:rowOff>
    </xdr:from>
    <xdr:to>
      <xdr:col>9</xdr:col>
      <xdr:colOff>1095375</xdr:colOff>
      <xdr:row>142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8642D7-5AE4-7B6B-ADF1-D24843E94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70</xdr:row>
      <xdr:rowOff>9524</xdr:rowOff>
    </xdr:from>
    <xdr:to>
      <xdr:col>9</xdr:col>
      <xdr:colOff>1095375</xdr:colOff>
      <xdr:row>92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FD1A61-FBE4-4DDA-9737-9A29C6041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45</xdr:row>
      <xdr:rowOff>14287</xdr:rowOff>
    </xdr:from>
    <xdr:to>
      <xdr:col>9</xdr:col>
      <xdr:colOff>1104899</xdr:colOff>
      <xdr:row>67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ADA5A-4D47-6C7D-E2C5-13AD4B8B9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Alvarez" refreshedDate="45611.764790740737" createdVersion="8" refreshedVersion="8" minRefreshableVersion="3" recordCount="660" xr:uid="{DD1629BF-B57B-4540-A121-E37B94D63126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n v="48.26"/>
    <x v="0"/>
  </r>
  <r>
    <x v="1"/>
    <x v="1"/>
    <n v="55.46"/>
    <x v="0"/>
  </r>
  <r>
    <x v="2"/>
    <x v="2"/>
    <n v="53.2"/>
    <x v="0"/>
  </r>
  <r>
    <x v="3"/>
    <x v="3"/>
    <n v="47.61"/>
    <x v="0"/>
  </r>
  <r>
    <x v="4"/>
    <x v="4"/>
    <n v="81.569999999999993"/>
    <x v="0"/>
  </r>
  <r>
    <x v="5"/>
    <x v="5"/>
    <n v="63.5"/>
    <x v="0"/>
  </r>
  <r>
    <x v="6"/>
    <x v="6"/>
    <n v="46.17"/>
    <x v="0"/>
  </r>
  <r>
    <x v="7"/>
    <x v="7"/>
    <n v="46.9"/>
    <x v="0"/>
  </r>
  <r>
    <x v="8"/>
    <x v="8"/>
    <n v="39.99"/>
    <x v="0"/>
  </r>
  <r>
    <x v="9"/>
    <x v="9"/>
    <n v="58.85"/>
    <x v="0"/>
  </r>
  <r>
    <x v="10"/>
    <x v="10"/>
    <n v="55.41"/>
    <x v="0"/>
  </r>
  <r>
    <x v="11"/>
    <x v="11"/>
    <n v="64.61"/>
    <x v="0"/>
  </r>
  <r>
    <x v="8"/>
    <x v="12"/>
    <n v="45.75"/>
    <x v="0"/>
  </r>
  <r>
    <x v="12"/>
    <x v="13"/>
    <n v="73.91"/>
    <x v="0"/>
  </r>
  <r>
    <x v="13"/>
    <x v="14"/>
    <n v="51.33"/>
    <x v="0"/>
  </r>
  <r>
    <x v="14"/>
    <x v="15"/>
    <n v="49.61"/>
    <x v="0"/>
  </r>
  <r>
    <x v="15"/>
    <x v="16"/>
    <n v="83.73"/>
    <x v="0"/>
  </r>
  <r>
    <x v="16"/>
    <x v="17"/>
    <n v="44.63"/>
    <x v="0"/>
  </r>
  <r>
    <x v="17"/>
    <x v="18"/>
    <n v="80.989999999999995"/>
    <x v="0"/>
  </r>
  <r>
    <x v="18"/>
    <x v="19"/>
    <n v="74.239999999999995"/>
    <x v="0"/>
  </r>
  <r>
    <x v="19"/>
    <x v="20"/>
    <n v="72.72"/>
    <x v="0"/>
  </r>
  <r>
    <x v="20"/>
    <x v="21"/>
    <n v="44.6"/>
    <x v="0"/>
  </r>
  <r>
    <x v="17"/>
    <x v="22"/>
    <n v="57.16"/>
    <x v="0"/>
  </r>
  <r>
    <x v="21"/>
    <x v="23"/>
    <n v="41.59"/>
    <x v="0"/>
  </r>
  <r>
    <x v="9"/>
    <x v="24"/>
    <n v="52.61"/>
    <x v="0"/>
  </r>
  <r>
    <x v="17"/>
    <x v="25"/>
    <n v="54.95"/>
    <x v="0"/>
  </r>
  <r>
    <x v="14"/>
    <x v="26"/>
    <n v="72.44"/>
    <x v="0"/>
  </r>
  <r>
    <x v="22"/>
    <x v="27"/>
    <n v="68.91"/>
    <x v="0"/>
  </r>
  <r>
    <x v="23"/>
    <x v="28"/>
    <n v="77.150000000000006"/>
    <x v="0"/>
  </r>
  <r>
    <x v="24"/>
    <x v="15"/>
    <n v="44.4"/>
    <x v="0"/>
  </r>
  <r>
    <x v="25"/>
    <x v="29"/>
    <n v="62.93"/>
    <x v="0"/>
  </r>
  <r>
    <x v="7"/>
    <x v="30"/>
    <n v="37.46"/>
    <x v="0"/>
  </r>
  <r>
    <x v="16"/>
    <x v="31"/>
    <n v="73.75"/>
    <x v="0"/>
  </r>
  <r>
    <x v="26"/>
    <x v="32"/>
    <n v="67.150000000000006"/>
    <x v="0"/>
  </r>
  <r>
    <x v="27"/>
    <x v="33"/>
    <n v="77.400000000000006"/>
    <x v="0"/>
  </r>
  <r>
    <x v="23"/>
    <x v="34"/>
    <n v="63.51"/>
    <x v="0"/>
  </r>
  <r>
    <x v="13"/>
    <x v="35"/>
    <n v="51.14"/>
    <x v="0"/>
  </r>
  <r>
    <x v="28"/>
    <x v="36"/>
    <n v="70.61"/>
    <x v="0"/>
  </r>
  <r>
    <x v="23"/>
    <x v="37"/>
    <n v="44.23"/>
    <x v="0"/>
  </r>
  <r>
    <x v="23"/>
    <x v="38"/>
    <n v="50.83"/>
    <x v="0"/>
  </r>
  <r>
    <x v="29"/>
    <x v="39"/>
    <n v="45.83"/>
    <x v="0"/>
  </r>
  <r>
    <x v="30"/>
    <x v="40"/>
    <n v="45.66"/>
    <x v="0"/>
  </r>
  <r>
    <x v="31"/>
    <x v="41"/>
    <n v="54.57"/>
    <x v="0"/>
  </r>
  <r>
    <x v="0"/>
    <x v="42"/>
    <n v="56.36"/>
    <x v="0"/>
  </r>
  <r>
    <x v="30"/>
    <x v="43"/>
    <n v="64.02"/>
    <x v="0"/>
  </r>
  <r>
    <x v="15"/>
    <x v="44"/>
    <n v="71.150000000000006"/>
    <x v="0"/>
  </r>
  <r>
    <x v="26"/>
    <x v="45"/>
    <n v="46.33"/>
    <x v="0"/>
  </r>
  <r>
    <x v="16"/>
    <x v="46"/>
    <n v="52.08"/>
    <x v="0"/>
  </r>
  <r>
    <x v="32"/>
    <x v="47"/>
    <n v="80.16"/>
    <x v="0"/>
  </r>
  <r>
    <x v="23"/>
    <x v="48"/>
    <n v="79.55"/>
    <x v="0"/>
  </r>
  <r>
    <x v="24"/>
    <x v="49"/>
    <n v="78.27"/>
    <x v="0"/>
  </r>
  <r>
    <x v="16"/>
    <x v="50"/>
    <n v="51.69"/>
    <x v="0"/>
  </r>
  <r>
    <x v="16"/>
    <x v="51"/>
    <n v="80.47"/>
    <x v="0"/>
  </r>
  <r>
    <x v="4"/>
    <x v="52"/>
    <n v="66.28"/>
    <x v="0"/>
  </r>
  <r>
    <x v="23"/>
    <x v="53"/>
    <n v="57"/>
    <x v="0"/>
  </r>
  <r>
    <x v="11"/>
    <x v="54"/>
    <n v="58.01"/>
    <x v="0"/>
  </r>
  <r>
    <x v="33"/>
    <x v="55"/>
    <n v="52.3"/>
    <x v="0"/>
  </r>
  <r>
    <x v="34"/>
    <x v="56"/>
    <n v="38.17"/>
    <x v="0"/>
  </r>
  <r>
    <x v="35"/>
    <x v="57"/>
    <n v="38.24"/>
    <x v="0"/>
  </r>
  <r>
    <x v="19"/>
    <x v="58"/>
    <n v="76.39"/>
    <x v="0"/>
  </r>
  <r>
    <x v="36"/>
    <x v="59"/>
    <n v="63.07"/>
    <x v="0"/>
  </r>
  <r>
    <x v="37"/>
    <x v="60"/>
    <n v="59.39"/>
    <x v="0"/>
  </r>
  <r>
    <x v="12"/>
    <x v="61"/>
    <n v="44.25"/>
    <x v="0"/>
  </r>
  <r>
    <x v="38"/>
    <x v="62"/>
    <n v="68.760000000000005"/>
    <x v="0"/>
  </r>
  <r>
    <x v="24"/>
    <x v="63"/>
    <n v="52.87"/>
    <x v="0"/>
  </r>
  <r>
    <x v="33"/>
    <x v="64"/>
    <n v="40.86"/>
    <x v="0"/>
  </r>
  <r>
    <x v="8"/>
    <x v="65"/>
    <n v="58.86"/>
    <x v="0"/>
  </r>
  <r>
    <x v="39"/>
    <x v="55"/>
    <n v="55.6"/>
    <x v="0"/>
  </r>
  <r>
    <x v="21"/>
    <x v="66"/>
    <n v="43.2"/>
    <x v="0"/>
  </r>
  <r>
    <x v="16"/>
    <x v="67"/>
    <n v="46.77"/>
    <x v="0"/>
  </r>
  <r>
    <x v="3"/>
    <x v="68"/>
    <n v="52.51"/>
    <x v="0"/>
  </r>
  <r>
    <x v="17"/>
    <x v="69"/>
    <n v="54.28"/>
    <x v="0"/>
  </r>
  <r>
    <x v="40"/>
    <x v="70"/>
    <n v="54.32"/>
    <x v="0"/>
  </r>
  <r>
    <x v="30"/>
    <x v="71"/>
    <n v="57.02"/>
    <x v="0"/>
  </r>
  <r>
    <x v="35"/>
    <x v="72"/>
    <n v="68.48"/>
    <x v="0"/>
  </r>
  <r>
    <x v="41"/>
    <x v="73"/>
    <n v="43.97"/>
    <x v="0"/>
  </r>
  <r>
    <x v="35"/>
    <x v="74"/>
    <n v="47.74"/>
    <x v="0"/>
  </r>
  <r>
    <x v="42"/>
    <x v="75"/>
    <n v="77.84"/>
    <x v="0"/>
  </r>
  <r>
    <x v="8"/>
    <x v="76"/>
    <n v="46.76"/>
    <x v="0"/>
  </r>
  <r>
    <x v="36"/>
    <x v="77"/>
    <n v="69.61"/>
    <x v="0"/>
  </r>
  <r>
    <x v="42"/>
    <x v="78"/>
    <n v="52.36"/>
    <x v="0"/>
  </r>
  <r>
    <x v="18"/>
    <x v="79"/>
    <n v="46.8"/>
    <x v="0"/>
  </r>
  <r>
    <x v="25"/>
    <x v="80"/>
    <n v="39.72"/>
    <x v="0"/>
  </r>
  <r>
    <x v="42"/>
    <x v="81"/>
    <n v="72.540000000000006"/>
    <x v="0"/>
  </r>
  <r>
    <x v="17"/>
    <x v="82"/>
    <n v="79.349999999999994"/>
    <x v="0"/>
  </r>
  <r>
    <x v="33"/>
    <x v="83"/>
    <n v="56.7"/>
    <x v="0"/>
  </r>
  <r>
    <x v="7"/>
    <x v="84"/>
    <n v="64.599999999999994"/>
    <x v="0"/>
  </r>
  <r>
    <x v="35"/>
    <x v="85"/>
    <n v="65.95"/>
    <x v="0"/>
  </r>
  <r>
    <x v="43"/>
    <x v="86"/>
    <n v="57.47"/>
    <x v="0"/>
  </r>
  <r>
    <x v="43"/>
    <x v="46"/>
    <n v="56.66"/>
    <x v="0"/>
  </r>
  <r>
    <x v="0"/>
    <x v="87"/>
    <n v="69.040000000000006"/>
    <x v="0"/>
  </r>
  <r>
    <x v="20"/>
    <x v="56"/>
    <n v="39.58"/>
    <x v="0"/>
  </r>
  <r>
    <x v="26"/>
    <x v="77"/>
    <n v="57.9"/>
    <x v="0"/>
  </r>
  <r>
    <x v="42"/>
    <x v="41"/>
    <n v="63.74"/>
    <x v="0"/>
  </r>
  <r>
    <x v="35"/>
    <x v="88"/>
    <n v="38.69"/>
    <x v="0"/>
  </r>
  <r>
    <x v="39"/>
    <x v="89"/>
    <n v="65.87"/>
    <x v="0"/>
  </r>
  <r>
    <x v="36"/>
    <x v="71"/>
    <n v="62.13"/>
    <x v="0"/>
  </r>
  <r>
    <x v="39"/>
    <x v="90"/>
    <n v="50.46"/>
    <x v="0"/>
  </r>
  <r>
    <x v="19"/>
    <x v="91"/>
    <n v="77.16"/>
    <x v="0"/>
  </r>
  <r>
    <x v="19"/>
    <x v="10"/>
    <n v="52.84"/>
    <x v="0"/>
  </r>
  <r>
    <x v="29"/>
    <x v="92"/>
    <n v="84.28"/>
    <x v="0"/>
  </r>
  <r>
    <x v="44"/>
    <x v="93"/>
    <n v="44.37"/>
    <x v="0"/>
  </r>
  <r>
    <x v="23"/>
    <x v="94"/>
    <n v="57.43"/>
    <x v="0"/>
  </r>
  <r>
    <x v="44"/>
    <x v="30"/>
    <n v="45.31"/>
    <x v="0"/>
  </r>
  <r>
    <x v="36"/>
    <x v="95"/>
    <n v="68.959999999999994"/>
    <x v="0"/>
  </r>
  <r>
    <x v="39"/>
    <x v="96"/>
    <n v="81.680000000000007"/>
    <x v="0"/>
  </r>
  <r>
    <x v="19"/>
    <x v="97"/>
    <n v="75.739999999999995"/>
    <x v="0"/>
  </r>
  <r>
    <x v="7"/>
    <x v="98"/>
    <n v="52.45"/>
    <x v="0"/>
  </r>
  <r>
    <x v="29"/>
    <x v="36"/>
    <n v="68.069999999999993"/>
    <x v="0"/>
  </r>
  <r>
    <x v="45"/>
    <x v="99"/>
    <n v="51.67"/>
    <x v="0"/>
  </r>
  <r>
    <x v="19"/>
    <x v="100"/>
    <n v="48.8"/>
    <x v="0"/>
  </r>
  <r>
    <x v="8"/>
    <x v="101"/>
    <n v="77.069999999999993"/>
    <x v="0"/>
  </r>
  <r>
    <x v="30"/>
    <x v="102"/>
    <n v="53.41"/>
    <x v="0"/>
  </r>
  <r>
    <x v="30"/>
    <x v="101"/>
    <n v="68.260000000000005"/>
    <x v="0"/>
  </r>
  <r>
    <x v="46"/>
    <x v="103"/>
    <n v="77.38"/>
    <x v="0"/>
  </r>
  <r>
    <x v="44"/>
    <x v="5"/>
    <n v="65.400000000000006"/>
    <x v="0"/>
  </r>
  <r>
    <x v="8"/>
    <x v="104"/>
    <n v="62.51"/>
    <x v="0"/>
  </r>
  <r>
    <x v="47"/>
    <x v="105"/>
    <n v="55.07"/>
    <x v="0"/>
  </r>
  <r>
    <x v="48"/>
    <x v="106"/>
    <n v="50.27"/>
    <x v="0"/>
  </r>
  <r>
    <x v="0"/>
    <x v="107"/>
    <n v="35.799999999999997"/>
    <x v="0"/>
  </r>
  <r>
    <x v="41"/>
    <x v="108"/>
    <n v="64.55"/>
    <x v="0"/>
  </r>
  <r>
    <x v="41"/>
    <x v="109"/>
    <n v="73.87"/>
    <x v="0"/>
  </r>
  <r>
    <x v="49"/>
    <x v="110"/>
    <n v="41.82"/>
    <x v="0"/>
  </r>
  <r>
    <x v="33"/>
    <x v="111"/>
    <n v="43.18"/>
    <x v="0"/>
  </r>
  <r>
    <x v="11"/>
    <x v="112"/>
    <n v="47.22"/>
    <x v="0"/>
  </r>
  <r>
    <x v="36"/>
    <x v="113"/>
    <n v="53.91"/>
    <x v="0"/>
  </r>
  <r>
    <x v="41"/>
    <x v="114"/>
    <n v="59.74"/>
    <x v="0"/>
  </r>
  <r>
    <x v="23"/>
    <x v="115"/>
    <n v="74.14"/>
    <x v="0"/>
  </r>
  <r>
    <x v="1"/>
    <x v="116"/>
    <n v="36.58"/>
    <x v="1"/>
  </r>
  <r>
    <x v="35"/>
    <x v="117"/>
    <n v="76.55"/>
    <x v="0"/>
  </r>
  <r>
    <x v="43"/>
    <x v="60"/>
    <n v="37.07"/>
    <x v="0"/>
  </r>
  <r>
    <x v="4"/>
    <x v="118"/>
    <n v="71.33"/>
    <x v="0"/>
  </r>
  <r>
    <x v="33"/>
    <x v="119"/>
    <n v="80.31"/>
    <x v="0"/>
  </r>
  <r>
    <x v="47"/>
    <x v="118"/>
    <n v="70.489999999999995"/>
    <x v="0"/>
  </r>
  <r>
    <x v="23"/>
    <x v="120"/>
    <n v="28.75"/>
    <x v="0"/>
  </r>
  <r>
    <x v="38"/>
    <x v="72"/>
    <n v="43.95"/>
    <x v="0"/>
  </r>
  <r>
    <x v="9"/>
    <x v="121"/>
    <n v="85.03"/>
    <x v="0"/>
  </r>
  <r>
    <x v="17"/>
    <x v="122"/>
    <n v="76.47"/>
    <x v="0"/>
  </r>
  <r>
    <x v="43"/>
    <x v="123"/>
    <n v="51.12"/>
    <x v="0"/>
  </r>
  <r>
    <x v="22"/>
    <x v="32"/>
    <n v="68.02"/>
    <x v="0"/>
  </r>
  <r>
    <x v="39"/>
    <x v="73"/>
    <n v="65.16"/>
    <x v="0"/>
  </r>
  <r>
    <x v="36"/>
    <x v="124"/>
    <n v="58"/>
    <x v="0"/>
  </r>
  <r>
    <x v="24"/>
    <x v="125"/>
    <n v="55.1"/>
    <x v="0"/>
  </r>
  <r>
    <x v="20"/>
    <x v="126"/>
    <n v="21.1"/>
    <x v="0"/>
  </r>
  <r>
    <x v="39"/>
    <x v="127"/>
    <n v="49.54"/>
    <x v="0"/>
  </r>
  <r>
    <x v="10"/>
    <x v="128"/>
    <n v="40.880000000000003"/>
    <x v="0"/>
  </r>
  <r>
    <x v="33"/>
    <x v="20"/>
    <n v="27.64"/>
    <x v="0"/>
  </r>
  <r>
    <x v="8"/>
    <x v="129"/>
    <n v="96.31"/>
    <x v="0"/>
  </r>
  <r>
    <x v="35"/>
    <x v="130"/>
    <n v="96.03"/>
    <x v="0"/>
  </r>
  <r>
    <x v="9"/>
    <x v="131"/>
    <n v="77.290000000000006"/>
    <x v="0"/>
  </r>
  <r>
    <x v="32"/>
    <x v="120"/>
    <n v="61.92"/>
    <x v="0"/>
  </r>
  <r>
    <x v="21"/>
    <x v="132"/>
    <n v="63.57"/>
    <x v="0"/>
  </r>
  <r>
    <x v="50"/>
    <x v="133"/>
    <n v="78.3"/>
    <x v="0"/>
  </r>
  <r>
    <x v="21"/>
    <x v="134"/>
    <n v="50.07"/>
    <x v="0"/>
  </r>
  <r>
    <x v="39"/>
    <x v="24"/>
    <n v="51.35"/>
    <x v="0"/>
  </r>
  <r>
    <x v="0"/>
    <x v="135"/>
    <n v="53.41"/>
    <x v="0"/>
  </r>
  <r>
    <x v="41"/>
    <x v="136"/>
    <n v="52.91"/>
    <x v="0"/>
  </r>
  <r>
    <x v="36"/>
    <x v="137"/>
    <n v="65.28"/>
    <x v="0"/>
  </r>
  <r>
    <x v="26"/>
    <x v="138"/>
    <n v="100.78"/>
    <x v="0"/>
  </r>
  <r>
    <x v="51"/>
    <x v="139"/>
    <n v="74.760000000000005"/>
    <x v="0"/>
  </r>
  <r>
    <x v="44"/>
    <x v="140"/>
    <n v="53.96"/>
    <x v="0"/>
  </r>
  <r>
    <x v="14"/>
    <x v="141"/>
    <n v="62.53"/>
    <x v="0"/>
  </r>
  <r>
    <x v="36"/>
    <x v="142"/>
    <n v="83.15"/>
    <x v="0"/>
  </r>
  <r>
    <x v="47"/>
    <x v="143"/>
    <n v="76.959999999999994"/>
    <x v="0"/>
  </r>
  <r>
    <x v="44"/>
    <x v="144"/>
    <n v="54.57"/>
    <x v="0"/>
  </r>
  <r>
    <x v="0"/>
    <x v="145"/>
    <n v="115.29"/>
    <x v="0"/>
  </r>
  <r>
    <x v="20"/>
    <x v="146"/>
    <n v="88.43"/>
    <x v="0"/>
  </r>
  <r>
    <x v="52"/>
    <x v="142"/>
    <n v="62.31"/>
    <x v="0"/>
  </r>
  <r>
    <x v="10"/>
    <x v="75"/>
    <n v="29.32"/>
    <x v="0"/>
  </r>
  <r>
    <x v="13"/>
    <x v="147"/>
    <n v="67.36"/>
    <x v="0"/>
  </r>
  <r>
    <x v="33"/>
    <x v="148"/>
    <n v="88.53"/>
    <x v="0"/>
  </r>
  <r>
    <x v="16"/>
    <x v="149"/>
    <n v="52.97"/>
    <x v="0"/>
  </r>
  <r>
    <x v="52"/>
    <x v="54"/>
    <n v="83.57"/>
    <x v="0"/>
  </r>
  <r>
    <x v="20"/>
    <x v="150"/>
    <n v="92.48"/>
    <x v="0"/>
  </r>
  <r>
    <x v="44"/>
    <x v="151"/>
    <n v="66.709999999999994"/>
    <x v="0"/>
  </r>
  <r>
    <x v="41"/>
    <x v="126"/>
    <n v="42.01"/>
    <x v="0"/>
  </r>
  <r>
    <x v="26"/>
    <x v="134"/>
    <n v="49.81"/>
    <x v="0"/>
  </r>
  <r>
    <x v="4"/>
    <x v="20"/>
    <n v="56.55"/>
    <x v="0"/>
  </r>
  <r>
    <x v="39"/>
    <x v="152"/>
    <n v="44.21"/>
    <x v="0"/>
  </r>
  <r>
    <x v="48"/>
    <x v="133"/>
    <n v="50.61"/>
    <x v="0"/>
  </r>
  <r>
    <x v="41"/>
    <x v="39"/>
    <n v="60.58"/>
    <x v="0"/>
  </r>
  <r>
    <x v="49"/>
    <x v="153"/>
    <n v="44.09"/>
    <x v="0"/>
  </r>
  <r>
    <x v="19"/>
    <x v="154"/>
    <n v="75.03"/>
    <x v="0"/>
  </r>
  <r>
    <x v="51"/>
    <x v="155"/>
    <n v="44.82"/>
    <x v="0"/>
  </r>
  <r>
    <x v="33"/>
    <x v="46"/>
    <n v="86.23"/>
    <x v="0"/>
  </r>
  <r>
    <x v="53"/>
    <x v="156"/>
    <n v="75.459999999999994"/>
    <x v="0"/>
  </r>
  <r>
    <x v="20"/>
    <x v="157"/>
    <n v="33.049999999999997"/>
    <x v="0"/>
  </r>
  <r>
    <x v="36"/>
    <x v="158"/>
    <n v="87.4"/>
    <x v="0"/>
  </r>
  <r>
    <x v="52"/>
    <x v="159"/>
    <n v="40.19"/>
    <x v="0"/>
  </r>
  <r>
    <x v="29"/>
    <x v="160"/>
    <n v="43.95"/>
    <x v="0"/>
  </r>
  <r>
    <x v="21"/>
    <x v="161"/>
    <n v="61.06"/>
    <x v="0"/>
  </r>
  <r>
    <x v="53"/>
    <x v="162"/>
    <n v="63.38"/>
    <x v="0"/>
  </r>
  <r>
    <x v="36"/>
    <x v="163"/>
    <n v="8"/>
    <x v="0"/>
  </r>
  <r>
    <x v="52"/>
    <x v="164"/>
    <n v="67.44"/>
    <x v="0"/>
  </r>
  <r>
    <x v="47"/>
    <x v="165"/>
    <n v="82.05"/>
    <x v="0"/>
  </r>
  <r>
    <x v="54"/>
    <x v="166"/>
    <n v="42.33"/>
    <x v="0"/>
  </r>
  <r>
    <x v="14"/>
    <x v="90"/>
    <n v="46.56"/>
    <x v="0"/>
  </r>
  <r>
    <x v="33"/>
    <x v="167"/>
    <n v="42.01"/>
    <x v="0"/>
  </r>
  <r>
    <x v="52"/>
    <x v="23"/>
    <n v="31.21"/>
    <x v="0"/>
  </r>
  <r>
    <x v="55"/>
    <x v="168"/>
    <n v="46.24"/>
    <x v="0"/>
  </r>
  <r>
    <x v="20"/>
    <x v="107"/>
    <n v="50.33"/>
    <x v="0"/>
  </r>
  <r>
    <x v="13"/>
    <x v="26"/>
    <n v="118.54"/>
    <x v="0"/>
  </r>
  <r>
    <x v="17"/>
    <x v="169"/>
    <n v="66.209999999999994"/>
    <x v="0"/>
  </r>
  <r>
    <x v="35"/>
    <x v="170"/>
    <n v="57.53"/>
    <x v="0"/>
  </r>
  <r>
    <x v="35"/>
    <x v="33"/>
    <n v="62.71"/>
    <x v="0"/>
  </r>
  <r>
    <x v="3"/>
    <x v="171"/>
    <n v="50.62"/>
    <x v="0"/>
  </r>
  <r>
    <x v="4"/>
    <x v="172"/>
    <n v="93.01"/>
    <x v="0"/>
  </r>
  <r>
    <x v="17"/>
    <x v="2"/>
    <n v="66.86"/>
    <x v="0"/>
  </r>
  <r>
    <x v="23"/>
    <x v="173"/>
    <n v="26.63"/>
    <x v="0"/>
  </r>
  <r>
    <x v="30"/>
    <x v="174"/>
    <n v="80.430000000000007"/>
    <x v="0"/>
  </r>
  <r>
    <x v="23"/>
    <x v="175"/>
    <n v="108.17"/>
    <x v="1"/>
  </r>
  <r>
    <x v="50"/>
    <x v="176"/>
    <n v="95.27"/>
    <x v="0"/>
  </r>
  <r>
    <x v="15"/>
    <x v="116"/>
    <n v="35.78"/>
    <x v="0"/>
  </r>
  <r>
    <x v="26"/>
    <x v="144"/>
    <n v="79.290000000000006"/>
    <x v="0"/>
  </r>
  <r>
    <x v="31"/>
    <x v="177"/>
    <n v="70.06"/>
    <x v="0"/>
  </r>
  <r>
    <x v="40"/>
    <x v="178"/>
    <n v="69.06"/>
    <x v="0"/>
  </r>
  <r>
    <x v="22"/>
    <x v="179"/>
    <n v="45.92"/>
    <x v="0"/>
  </r>
  <r>
    <x v="6"/>
    <x v="20"/>
    <n v="89.98"/>
    <x v="0"/>
  </r>
  <r>
    <x v="16"/>
    <x v="180"/>
    <n v="55.5"/>
    <x v="0"/>
  </r>
  <r>
    <x v="45"/>
    <x v="181"/>
    <n v="90.99"/>
    <x v="0"/>
  </r>
  <r>
    <x v="48"/>
    <x v="182"/>
    <n v="76.010000000000005"/>
    <x v="0"/>
  </r>
  <r>
    <x v="44"/>
    <x v="144"/>
    <n v="34.28"/>
    <x v="0"/>
  </r>
  <r>
    <x v="33"/>
    <x v="183"/>
    <n v="103.65"/>
    <x v="1"/>
  </r>
  <r>
    <x v="40"/>
    <x v="184"/>
    <n v="72.56"/>
    <x v="0"/>
  </r>
  <r>
    <x v="20"/>
    <x v="39"/>
    <n v="49.27"/>
    <x v="0"/>
  </r>
  <r>
    <x v="46"/>
    <x v="185"/>
    <n v="65.209999999999994"/>
    <x v="0"/>
  </r>
  <r>
    <x v="16"/>
    <x v="186"/>
    <n v="86.46"/>
    <x v="0"/>
  </r>
  <r>
    <x v="48"/>
    <x v="15"/>
    <n v="45.76"/>
    <x v="0"/>
  </r>
  <r>
    <x v="23"/>
    <x v="187"/>
    <n v="30.74"/>
    <x v="0"/>
  </r>
  <r>
    <x v="26"/>
    <x v="188"/>
    <n v="81.08"/>
    <x v="0"/>
  </r>
  <r>
    <x v="33"/>
    <x v="189"/>
    <n v="51"/>
    <x v="0"/>
  </r>
  <r>
    <x v="18"/>
    <x v="190"/>
    <n v="67.36"/>
    <x v="0"/>
  </r>
  <r>
    <x v="40"/>
    <x v="31"/>
    <n v="50.29"/>
    <x v="0"/>
  </r>
  <r>
    <x v="41"/>
    <x v="191"/>
    <n v="83.76"/>
    <x v="0"/>
  </r>
  <r>
    <x v="43"/>
    <x v="3"/>
    <n v="21.46"/>
    <x v="0"/>
  </r>
  <r>
    <x v="19"/>
    <x v="192"/>
    <n v="52.51"/>
    <x v="0"/>
  </r>
  <r>
    <x v="5"/>
    <x v="122"/>
    <n v="24.63"/>
    <x v="0"/>
  </r>
  <r>
    <x v="42"/>
    <x v="134"/>
    <n v="9.23"/>
    <x v="0"/>
  </r>
  <r>
    <x v="56"/>
    <x v="193"/>
    <n v="39.17"/>
    <x v="0"/>
  </r>
  <r>
    <x v="48"/>
    <x v="192"/>
    <n v="50.74"/>
    <x v="0"/>
  </r>
  <r>
    <x v="31"/>
    <x v="194"/>
    <n v="86.68"/>
    <x v="0"/>
  </r>
  <r>
    <x v="35"/>
    <x v="146"/>
    <n v="79.790000000000006"/>
    <x v="0"/>
  </r>
  <r>
    <x v="24"/>
    <x v="195"/>
    <n v="26.08"/>
    <x v="0"/>
  </r>
  <r>
    <x v="13"/>
    <x v="196"/>
    <n v="72.25"/>
    <x v="0"/>
  </r>
  <r>
    <x v="29"/>
    <x v="197"/>
    <n v="49.24"/>
    <x v="0"/>
  </r>
  <r>
    <x v="8"/>
    <x v="97"/>
    <n v="78.39"/>
    <x v="0"/>
  </r>
  <r>
    <x v="34"/>
    <x v="50"/>
    <n v="70.22"/>
    <x v="0"/>
  </r>
  <r>
    <x v="25"/>
    <x v="119"/>
    <n v="60.49"/>
    <x v="0"/>
  </r>
  <r>
    <x v="42"/>
    <x v="198"/>
    <n v="62.92"/>
    <x v="0"/>
  </r>
  <r>
    <x v="18"/>
    <x v="199"/>
    <n v="48.83"/>
    <x v="0"/>
  </r>
  <r>
    <x v="23"/>
    <x v="200"/>
    <n v="39.82"/>
    <x v="1"/>
  </r>
  <r>
    <x v="29"/>
    <x v="201"/>
    <n v="69.86"/>
    <x v="1"/>
  </r>
  <r>
    <x v="47"/>
    <x v="202"/>
    <n v="67.95"/>
    <x v="1"/>
  </r>
  <r>
    <x v="1"/>
    <x v="203"/>
    <n v="50.66"/>
    <x v="1"/>
  </r>
  <r>
    <x v="4"/>
    <x v="110"/>
    <n v="31.48"/>
    <x v="1"/>
  </r>
  <r>
    <x v="47"/>
    <x v="8"/>
    <n v="37.39"/>
    <x v="1"/>
  </r>
  <r>
    <x v="25"/>
    <x v="204"/>
    <n v="51.67"/>
    <x v="1"/>
  </r>
  <r>
    <x v="47"/>
    <x v="205"/>
    <n v="43.81"/>
    <x v="1"/>
  </r>
  <r>
    <x v="51"/>
    <x v="206"/>
    <n v="70.430000000000007"/>
    <x v="1"/>
  </r>
  <r>
    <x v="9"/>
    <x v="207"/>
    <n v="79.900000000000006"/>
    <x v="1"/>
  </r>
  <r>
    <x v="6"/>
    <x v="208"/>
    <n v="63.34"/>
    <x v="1"/>
  </r>
  <r>
    <x v="46"/>
    <x v="209"/>
    <n v="30.62"/>
    <x v="1"/>
  </r>
  <r>
    <x v="33"/>
    <x v="71"/>
    <n v="51.36"/>
    <x v="1"/>
  </r>
  <r>
    <x v="51"/>
    <x v="22"/>
    <n v="62.85"/>
    <x v="1"/>
  </r>
  <r>
    <x v="10"/>
    <x v="208"/>
    <n v="55.39"/>
    <x v="1"/>
  </r>
  <r>
    <x v="33"/>
    <x v="210"/>
    <n v="91.7"/>
    <x v="1"/>
  </r>
  <r>
    <x v="52"/>
    <x v="211"/>
    <n v="64.67"/>
    <x v="1"/>
  </r>
  <r>
    <x v="11"/>
    <x v="212"/>
    <n v="66.13"/>
    <x v="1"/>
  </r>
  <r>
    <x v="13"/>
    <x v="213"/>
    <n v="47.04"/>
    <x v="1"/>
  </r>
  <r>
    <x v="9"/>
    <x v="196"/>
    <n v="35.380000000000003"/>
    <x v="1"/>
  </r>
  <r>
    <x v="44"/>
    <x v="214"/>
    <n v="109.79"/>
    <x v="1"/>
  </r>
  <r>
    <x v="41"/>
    <x v="215"/>
    <n v="48.99"/>
    <x v="1"/>
  </r>
  <r>
    <x v="31"/>
    <x v="53"/>
    <n v="84.13"/>
    <x v="1"/>
  </r>
  <r>
    <x v="39"/>
    <x v="216"/>
    <n v="58.41"/>
    <x v="1"/>
  </r>
  <r>
    <x v="13"/>
    <x v="112"/>
    <n v="38.1"/>
    <x v="1"/>
  </r>
  <r>
    <x v="9"/>
    <x v="217"/>
    <n v="66.22"/>
    <x v="1"/>
  </r>
  <r>
    <x v="57"/>
    <x v="218"/>
    <n v="89.32"/>
    <x v="1"/>
  </r>
  <r>
    <x v="42"/>
    <x v="53"/>
    <n v="71.599999999999994"/>
    <x v="1"/>
  </r>
  <r>
    <x v="33"/>
    <x v="219"/>
    <n v="51.89"/>
    <x v="1"/>
  </r>
  <r>
    <x v="17"/>
    <x v="220"/>
    <n v="65.260000000000005"/>
    <x v="1"/>
  </r>
  <r>
    <x v="31"/>
    <x v="221"/>
    <n v="70.739999999999995"/>
    <x v="1"/>
  </r>
  <r>
    <x v="35"/>
    <x v="222"/>
    <n v="62.56"/>
    <x v="1"/>
  </r>
  <r>
    <x v="22"/>
    <x v="223"/>
    <n v="83.08"/>
    <x v="1"/>
  </r>
  <r>
    <x v="40"/>
    <x v="224"/>
    <n v="71.040000000000006"/>
    <x v="1"/>
  </r>
  <r>
    <x v="7"/>
    <x v="225"/>
    <n v="44.64"/>
    <x v="1"/>
  </r>
  <r>
    <x v="41"/>
    <x v="226"/>
    <n v="46.56"/>
    <x v="1"/>
  </r>
  <r>
    <x v="21"/>
    <x v="227"/>
    <n v="38.090000000000003"/>
    <x v="1"/>
  </r>
  <r>
    <x v="37"/>
    <x v="86"/>
    <n v="66.430000000000007"/>
    <x v="1"/>
  </r>
  <r>
    <x v="45"/>
    <x v="228"/>
    <n v="36.99"/>
    <x v="1"/>
  </r>
  <r>
    <x v="28"/>
    <x v="229"/>
    <n v="99.96"/>
    <x v="1"/>
  </r>
  <r>
    <x v="48"/>
    <x v="84"/>
    <n v="70.040000000000006"/>
    <x v="1"/>
  </r>
  <r>
    <x v="35"/>
    <x v="230"/>
    <n v="77.760000000000005"/>
    <x v="1"/>
  </r>
  <r>
    <x v="44"/>
    <x v="231"/>
    <n v="36.31"/>
    <x v="1"/>
  </r>
  <r>
    <x v="19"/>
    <x v="232"/>
    <n v="73.78"/>
    <x v="1"/>
  </r>
  <r>
    <x v="41"/>
    <x v="27"/>
    <n v="64.36"/>
    <x v="1"/>
  </r>
  <r>
    <x v="30"/>
    <x v="188"/>
    <n v="57.42"/>
    <x v="1"/>
  </r>
  <r>
    <x v="30"/>
    <x v="233"/>
    <n v="63.1"/>
    <x v="1"/>
  </r>
  <r>
    <x v="20"/>
    <x v="234"/>
    <n v="92.22"/>
    <x v="1"/>
  </r>
  <r>
    <x v="35"/>
    <x v="223"/>
    <n v="63.19"/>
    <x v="1"/>
  </r>
  <r>
    <x v="36"/>
    <x v="235"/>
    <n v="30.67"/>
    <x v="1"/>
  </r>
  <r>
    <x v="23"/>
    <x v="236"/>
    <n v="49.92"/>
    <x v="1"/>
  </r>
  <r>
    <x v="16"/>
    <x v="116"/>
    <n v="22.54"/>
    <x v="1"/>
  </r>
  <r>
    <x v="30"/>
    <x v="157"/>
    <n v="74.41"/>
    <x v="1"/>
  </r>
  <r>
    <x v="26"/>
    <x v="237"/>
    <n v="53.62"/>
    <x v="1"/>
  </r>
  <r>
    <x v="26"/>
    <x v="171"/>
    <n v="47.69"/>
    <x v="1"/>
  </r>
  <r>
    <x v="0"/>
    <x v="97"/>
    <n v="64.83"/>
    <x v="1"/>
  </r>
  <r>
    <x v="53"/>
    <x v="238"/>
    <n v="56.59"/>
    <x v="1"/>
  </r>
  <r>
    <x v="45"/>
    <x v="166"/>
    <n v="86.36"/>
    <x v="1"/>
  </r>
  <r>
    <x v="41"/>
    <x v="131"/>
    <n v="22.58"/>
    <x v="1"/>
  </r>
  <r>
    <x v="57"/>
    <x v="62"/>
    <n v="115.37"/>
    <x v="1"/>
  </r>
  <r>
    <x v="26"/>
    <x v="239"/>
    <n v="84.48"/>
    <x v="1"/>
  </r>
  <r>
    <x v="15"/>
    <x v="81"/>
    <n v="47.37"/>
    <x v="1"/>
  </r>
  <r>
    <x v="19"/>
    <x v="240"/>
    <n v="81.88"/>
    <x v="1"/>
  </r>
  <r>
    <x v="25"/>
    <x v="201"/>
    <n v="69.099999999999994"/>
    <x v="1"/>
  </r>
  <r>
    <x v="7"/>
    <x v="241"/>
    <n v="53.17"/>
    <x v="1"/>
  </r>
  <r>
    <x v="35"/>
    <x v="209"/>
    <n v="58.99"/>
    <x v="1"/>
  </r>
  <r>
    <x v="4"/>
    <x v="242"/>
    <n v="49.48"/>
    <x v="1"/>
  </r>
  <r>
    <x v="32"/>
    <x v="98"/>
    <n v="53"/>
    <x v="1"/>
  </r>
  <r>
    <x v="30"/>
    <x v="198"/>
    <n v="76.27"/>
    <x v="1"/>
  </r>
  <r>
    <x v="46"/>
    <x v="243"/>
    <n v="61.26"/>
    <x v="1"/>
  </r>
  <r>
    <x v="10"/>
    <x v="244"/>
    <n v="59.62"/>
    <x v="1"/>
  </r>
  <r>
    <x v="26"/>
    <x v="245"/>
    <n v="74.09"/>
    <x v="1"/>
  </r>
  <r>
    <x v="41"/>
    <x v="72"/>
    <n v="42.69"/>
    <x v="1"/>
  </r>
  <r>
    <x v="11"/>
    <x v="40"/>
    <n v="26.77"/>
    <x v="1"/>
  </r>
  <r>
    <x v="15"/>
    <x v="151"/>
    <n v="82.31"/>
    <x v="1"/>
  </r>
  <r>
    <x v="46"/>
    <x v="246"/>
    <n v="73.25"/>
    <x v="1"/>
  </r>
  <r>
    <x v="47"/>
    <x v="247"/>
    <n v="35.58"/>
    <x v="1"/>
  </r>
  <r>
    <x v="4"/>
    <x v="77"/>
    <n v="19.02"/>
    <x v="1"/>
  </r>
  <r>
    <x v="15"/>
    <x v="248"/>
    <n v="76.37"/>
    <x v="1"/>
  </r>
  <r>
    <x v="58"/>
    <x v="249"/>
    <n v="64.69"/>
    <x v="1"/>
  </r>
  <r>
    <x v="57"/>
    <x v="250"/>
    <n v="21.73"/>
    <x v="1"/>
  </r>
  <r>
    <x v="36"/>
    <x v="251"/>
    <n v="47.3"/>
    <x v="1"/>
  </r>
  <r>
    <x v="16"/>
    <x v="92"/>
    <n v="77.92"/>
    <x v="1"/>
  </r>
  <r>
    <x v="25"/>
    <x v="12"/>
    <n v="57.95"/>
    <x v="1"/>
  </r>
  <r>
    <x v="58"/>
    <x v="252"/>
    <n v="44.29"/>
    <x v="1"/>
  </r>
  <r>
    <x v="26"/>
    <x v="203"/>
    <n v="74.44"/>
    <x v="1"/>
  </r>
  <r>
    <x v="48"/>
    <x v="253"/>
    <n v="47.5"/>
    <x v="1"/>
  </r>
  <r>
    <x v="15"/>
    <x v="254"/>
    <n v="100.72"/>
    <x v="1"/>
  </r>
  <r>
    <x v="8"/>
    <x v="255"/>
    <n v="81.53"/>
    <x v="1"/>
  </r>
  <r>
    <x v="30"/>
    <x v="112"/>
    <n v="58.17"/>
    <x v="1"/>
  </r>
  <r>
    <x v="30"/>
    <x v="256"/>
    <n v="41.23"/>
    <x v="1"/>
  </r>
  <r>
    <x v="18"/>
    <x v="257"/>
    <n v="77.319999999999993"/>
    <x v="1"/>
  </r>
  <r>
    <x v="25"/>
    <x v="222"/>
    <n v="54.74"/>
    <x v="1"/>
  </r>
  <r>
    <x v="17"/>
    <x v="258"/>
    <n v="47.91"/>
    <x v="1"/>
  </r>
  <r>
    <x v="46"/>
    <x v="259"/>
    <n v="77.989999999999995"/>
    <x v="1"/>
  </r>
  <r>
    <x v="44"/>
    <x v="182"/>
    <n v="44.27"/>
    <x v="1"/>
  </r>
  <r>
    <x v="50"/>
    <x v="260"/>
    <n v="91.53"/>
    <x v="1"/>
  </r>
  <r>
    <x v="8"/>
    <x v="221"/>
    <n v="40.14"/>
    <x v="1"/>
  </r>
  <r>
    <x v="43"/>
    <x v="249"/>
    <n v="62.96"/>
    <x v="1"/>
  </r>
  <r>
    <x v="24"/>
    <x v="261"/>
    <n v="76.37"/>
    <x v="1"/>
  </r>
  <r>
    <x v="8"/>
    <x v="262"/>
    <n v="85.29"/>
    <x v="1"/>
  </r>
  <r>
    <x v="10"/>
    <x v="263"/>
    <n v="42.46"/>
    <x v="1"/>
  </r>
  <r>
    <x v="48"/>
    <x v="122"/>
    <n v="34.409999999999997"/>
    <x v="1"/>
  </r>
  <r>
    <x v="16"/>
    <x v="153"/>
    <n v="54.71"/>
    <x v="1"/>
  </r>
  <r>
    <x v="0"/>
    <x v="264"/>
    <n v="89.08"/>
    <x v="1"/>
  </r>
  <r>
    <x v="30"/>
    <x v="265"/>
    <n v="63.91"/>
    <x v="1"/>
  </r>
  <r>
    <x v="35"/>
    <x v="266"/>
    <n v="59.17"/>
    <x v="1"/>
  </r>
  <r>
    <x v="32"/>
    <x v="59"/>
    <n v="74.739999999999995"/>
    <x v="1"/>
  </r>
  <r>
    <x v="48"/>
    <x v="267"/>
    <n v="80.03"/>
    <x v="1"/>
  </r>
  <r>
    <x v="59"/>
    <x v="268"/>
    <n v="67.02"/>
    <x v="1"/>
  </r>
  <r>
    <x v="38"/>
    <x v="146"/>
    <n v="91.16"/>
    <x v="1"/>
  </r>
  <r>
    <x v="29"/>
    <x v="185"/>
    <n v="55.31"/>
    <x v="1"/>
  </r>
  <r>
    <x v="11"/>
    <x v="269"/>
    <n v="34.770000000000003"/>
    <x v="1"/>
  </r>
  <r>
    <x v="60"/>
    <x v="203"/>
    <n v="24.34"/>
    <x v="1"/>
  </r>
  <r>
    <x v="57"/>
    <x v="190"/>
    <n v="89.26"/>
    <x v="1"/>
  </r>
  <r>
    <x v="33"/>
    <x v="270"/>
    <n v="44.39"/>
    <x v="1"/>
  </r>
  <r>
    <x v="44"/>
    <x v="0"/>
    <n v="28.76"/>
    <x v="1"/>
  </r>
  <r>
    <x v="9"/>
    <x v="72"/>
    <n v="84.49"/>
    <x v="1"/>
  </r>
  <r>
    <x v="6"/>
    <x v="271"/>
    <n v="52.93"/>
    <x v="1"/>
  </r>
  <r>
    <x v="43"/>
    <x v="272"/>
    <n v="87.42"/>
    <x v="1"/>
  </r>
  <r>
    <x v="36"/>
    <x v="55"/>
    <n v="51.97"/>
    <x v="1"/>
  </r>
  <r>
    <x v="7"/>
    <x v="273"/>
    <n v="67.66"/>
    <x v="1"/>
  </r>
  <r>
    <x v="48"/>
    <x v="274"/>
    <n v="47.74"/>
    <x v="1"/>
  </r>
  <r>
    <x v="19"/>
    <x v="275"/>
    <n v="70"/>
    <x v="1"/>
  </r>
  <r>
    <x v="15"/>
    <x v="276"/>
    <n v="73.02"/>
    <x v="1"/>
  </r>
  <r>
    <x v="0"/>
    <x v="277"/>
    <n v="63.52"/>
    <x v="1"/>
  </r>
  <r>
    <x v="21"/>
    <x v="278"/>
    <n v="66.16"/>
    <x v="1"/>
  </r>
  <r>
    <x v="24"/>
    <x v="279"/>
    <n v="59.31"/>
    <x v="1"/>
  </r>
  <r>
    <x v="60"/>
    <x v="280"/>
    <n v="31.57"/>
    <x v="1"/>
  </r>
  <r>
    <x v="57"/>
    <x v="281"/>
    <n v="62.46"/>
    <x v="1"/>
  </r>
  <r>
    <x v="22"/>
    <x v="5"/>
    <n v="61.19"/>
    <x v="1"/>
  </r>
  <r>
    <x v="26"/>
    <x v="282"/>
    <n v="67.12"/>
    <x v="1"/>
  </r>
  <r>
    <x v="12"/>
    <x v="10"/>
    <n v="54.51"/>
    <x v="1"/>
  </r>
  <r>
    <x v="10"/>
    <x v="140"/>
    <n v="61.02"/>
    <x v="1"/>
  </r>
  <r>
    <x v="44"/>
    <x v="245"/>
    <n v="73.69"/>
    <x v="1"/>
  </r>
  <r>
    <x v="57"/>
    <x v="195"/>
    <n v="75.75"/>
    <x v="1"/>
  </r>
  <r>
    <x v="46"/>
    <x v="113"/>
    <n v="36.51"/>
    <x v="1"/>
  </r>
  <r>
    <x v="57"/>
    <x v="283"/>
    <n v="48.4"/>
    <x v="1"/>
  </r>
  <r>
    <x v="0"/>
    <x v="207"/>
    <n v="90.42"/>
    <x v="1"/>
  </r>
  <r>
    <x v="14"/>
    <x v="52"/>
    <n v="55.94"/>
    <x v="1"/>
  </r>
  <r>
    <x v="0"/>
    <x v="284"/>
    <n v="55.42"/>
    <x v="1"/>
  </r>
  <r>
    <x v="43"/>
    <x v="5"/>
    <n v="47.98"/>
    <x v="1"/>
  </r>
  <r>
    <x v="35"/>
    <x v="285"/>
    <n v="92.83"/>
    <x v="1"/>
  </r>
  <r>
    <x v="61"/>
    <x v="237"/>
    <n v="89.18"/>
    <x v="1"/>
  </r>
  <r>
    <x v="39"/>
    <x v="286"/>
    <n v="35.03"/>
    <x v="1"/>
  </r>
  <r>
    <x v="38"/>
    <x v="24"/>
    <n v="36.72"/>
    <x v="1"/>
  </r>
  <r>
    <x v="4"/>
    <x v="193"/>
    <n v="37.83"/>
    <x v="1"/>
  </r>
  <r>
    <x v="19"/>
    <x v="71"/>
    <n v="53.57"/>
    <x v="1"/>
  </r>
  <r>
    <x v="39"/>
    <x v="287"/>
    <n v="8.69"/>
    <x v="1"/>
  </r>
  <r>
    <x v="43"/>
    <x v="288"/>
    <n v="20.309999999999999"/>
    <x v="1"/>
  </r>
  <r>
    <x v="32"/>
    <x v="289"/>
    <n v="92.89"/>
    <x v="1"/>
  </r>
  <r>
    <x v="4"/>
    <x v="290"/>
    <n v="100.07"/>
    <x v="1"/>
  </r>
  <r>
    <x v="11"/>
    <x v="14"/>
    <n v="33.18"/>
    <x v="1"/>
  </r>
  <r>
    <x v="17"/>
    <x v="70"/>
    <n v="57.18"/>
    <x v="1"/>
  </r>
  <r>
    <x v="10"/>
    <x v="291"/>
    <n v="67.25"/>
    <x v="1"/>
  </r>
  <r>
    <x v="36"/>
    <x v="292"/>
    <n v="52.1"/>
    <x v="1"/>
  </r>
  <r>
    <x v="37"/>
    <x v="223"/>
    <n v="71.069999999999993"/>
    <x v="1"/>
  </r>
  <r>
    <x v="35"/>
    <x v="293"/>
    <n v="76.27"/>
    <x v="1"/>
  </r>
  <r>
    <x v="4"/>
    <x v="64"/>
    <n v="45.88"/>
    <x v="1"/>
  </r>
  <r>
    <x v="10"/>
    <x v="294"/>
    <n v="80.13"/>
    <x v="1"/>
  </r>
  <r>
    <x v="31"/>
    <x v="295"/>
    <n v="58.01"/>
    <x v="1"/>
  </r>
  <r>
    <x v="24"/>
    <x v="145"/>
    <n v="50.65"/>
    <x v="1"/>
  </r>
  <r>
    <x v="48"/>
    <x v="19"/>
    <n v="82.68"/>
    <x v="1"/>
  </r>
  <r>
    <x v="8"/>
    <x v="296"/>
    <n v="56.8"/>
    <x v="1"/>
  </r>
  <r>
    <x v="15"/>
    <x v="128"/>
    <n v="43.32"/>
    <x v="1"/>
  </r>
  <r>
    <x v="35"/>
    <x v="49"/>
    <n v="68.38"/>
    <x v="1"/>
  </r>
  <r>
    <x v="16"/>
    <x v="249"/>
    <n v="33.450000000000003"/>
    <x v="1"/>
  </r>
  <r>
    <x v="36"/>
    <x v="297"/>
    <n v="78.83"/>
    <x v="1"/>
  </r>
  <r>
    <x v="30"/>
    <x v="298"/>
    <n v="79.989999999999995"/>
    <x v="1"/>
  </r>
  <r>
    <x v="8"/>
    <x v="299"/>
    <n v="73.25"/>
    <x v="1"/>
  </r>
  <r>
    <x v="8"/>
    <x v="300"/>
    <n v="42.01"/>
    <x v="1"/>
  </r>
  <r>
    <x v="25"/>
    <x v="301"/>
    <n v="61.9"/>
    <x v="1"/>
  </r>
  <r>
    <x v="15"/>
    <x v="302"/>
    <n v="54.56"/>
    <x v="1"/>
  </r>
  <r>
    <x v="16"/>
    <x v="303"/>
    <n v="71.62"/>
    <x v="1"/>
  </r>
  <r>
    <x v="26"/>
    <x v="304"/>
    <n v="72.92"/>
    <x v="1"/>
  </r>
  <r>
    <x v="24"/>
    <x v="85"/>
    <n v="41.49"/>
    <x v="1"/>
  </r>
  <r>
    <x v="31"/>
    <x v="225"/>
    <n v="67.739999999999995"/>
    <x v="1"/>
  </r>
  <r>
    <x v="9"/>
    <x v="305"/>
    <n v="43.41"/>
    <x v="1"/>
  </r>
  <r>
    <x v="4"/>
    <x v="306"/>
    <n v="42.91"/>
    <x v="1"/>
  </r>
  <r>
    <x v="25"/>
    <x v="307"/>
    <n v="66.650000000000006"/>
    <x v="1"/>
  </r>
  <r>
    <x v="62"/>
    <x v="302"/>
    <n v="55.63"/>
    <x v="1"/>
  </r>
  <r>
    <x v="45"/>
    <x v="308"/>
    <n v="89.46"/>
    <x v="1"/>
  </r>
  <r>
    <x v="51"/>
    <x v="22"/>
    <n v="35.75"/>
    <x v="1"/>
  </r>
  <r>
    <x v="33"/>
    <x v="309"/>
    <n v="45.03"/>
    <x v="1"/>
  </r>
  <r>
    <x v="58"/>
    <x v="310"/>
    <n v="55.21"/>
    <x v="1"/>
  </r>
  <r>
    <x v="46"/>
    <x v="168"/>
    <n v="61.81"/>
    <x v="1"/>
  </r>
  <r>
    <x v="9"/>
    <x v="311"/>
    <n v="79.67"/>
    <x v="1"/>
  </r>
  <r>
    <x v="33"/>
    <x v="312"/>
    <n v="38.86"/>
    <x v="1"/>
  </r>
  <r>
    <x v="8"/>
    <x v="300"/>
    <n v="91.39"/>
    <x v="1"/>
  </r>
  <r>
    <x v="29"/>
    <x v="245"/>
    <n v="45.65"/>
    <x v="1"/>
  </r>
  <r>
    <x v="35"/>
    <x v="288"/>
    <n v="65.02"/>
    <x v="1"/>
  </r>
  <r>
    <x v="29"/>
    <x v="58"/>
    <n v="72.510000000000005"/>
    <x v="1"/>
  </r>
  <r>
    <x v="24"/>
    <x v="313"/>
    <n v="73.260000000000005"/>
    <x v="1"/>
  </r>
  <r>
    <x v="17"/>
    <x v="314"/>
    <n v="20.170000000000002"/>
    <x v="1"/>
  </r>
  <r>
    <x v="21"/>
    <x v="109"/>
    <n v="65.19"/>
    <x v="1"/>
  </r>
  <r>
    <x v="15"/>
    <x v="315"/>
    <n v="53.4"/>
    <x v="1"/>
  </r>
  <r>
    <x v="9"/>
    <x v="254"/>
    <n v="82.07"/>
    <x v="1"/>
  </r>
  <r>
    <x v="45"/>
    <x v="316"/>
    <n v="66.72"/>
    <x v="1"/>
  </r>
  <r>
    <x v="63"/>
    <x v="317"/>
    <n v="23.31"/>
    <x v="1"/>
  </r>
  <r>
    <x v="11"/>
    <x v="217"/>
    <n v="75.430000000000007"/>
    <x v="1"/>
  </r>
  <r>
    <x v="43"/>
    <x v="318"/>
    <n v="29.99"/>
    <x v="1"/>
  </r>
  <r>
    <x v="24"/>
    <x v="319"/>
    <n v="59.93"/>
    <x v="1"/>
  </r>
  <r>
    <x v="60"/>
    <x v="320"/>
    <n v="88.33"/>
    <x v="1"/>
  </r>
  <r>
    <x v="45"/>
    <x v="115"/>
    <n v="94.71"/>
    <x v="1"/>
  </r>
  <r>
    <x v="5"/>
    <x v="132"/>
    <n v="55.3"/>
    <x v="1"/>
  </r>
  <r>
    <x v="20"/>
    <x v="321"/>
    <n v="41.34"/>
    <x v="1"/>
  </r>
  <r>
    <x v="26"/>
    <x v="322"/>
    <n v="55.88"/>
    <x v="1"/>
  </r>
  <r>
    <x v="8"/>
    <x v="259"/>
    <n v="50.94"/>
    <x v="1"/>
  </r>
  <r>
    <x v="6"/>
    <x v="58"/>
    <n v="73.45"/>
    <x v="1"/>
  </r>
  <r>
    <x v="30"/>
    <x v="323"/>
    <n v="34.049999999999997"/>
    <x v="1"/>
  </r>
  <r>
    <x v="38"/>
    <x v="324"/>
    <n v="61.2"/>
    <x v="1"/>
  </r>
  <r>
    <x v="32"/>
    <x v="325"/>
    <n v="75.08"/>
    <x v="1"/>
  </r>
  <r>
    <x v="36"/>
    <x v="270"/>
    <n v="71.47"/>
    <x v="1"/>
  </r>
  <r>
    <x v="23"/>
    <x v="78"/>
    <n v="56.08"/>
    <x v="1"/>
  </r>
  <r>
    <x v="5"/>
    <x v="167"/>
    <n v="70.36"/>
    <x v="1"/>
  </r>
  <r>
    <x v="39"/>
    <x v="97"/>
    <n v="92.22"/>
    <x v="1"/>
  </r>
  <r>
    <x v="39"/>
    <x v="326"/>
    <n v="85.79"/>
    <x v="1"/>
  </r>
  <r>
    <x v="20"/>
    <x v="297"/>
    <n v="58.26"/>
    <x v="1"/>
  </r>
  <r>
    <x v="6"/>
    <x v="327"/>
    <n v="50.18"/>
    <x v="1"/>
  </r>
  <r>
    <x v="19"/>
    <x v="328"/>
    <n v="60.5"/>
    <x v="1"/>
  </r>
  <r>
    <x v="33"/>
    <x v="329"/>
    <n v="50.8"/>
    <x v="1"/>
  </r>
  <r>
    <x v="40"/>
    <x v="42"/>
    <n v="54.85"/>
    <x v="1"/>
  </r>
  <r>
    <x v="7"/>
    <x v="330"/>
    <n v="36.57"/>
    <x v="1"/>
  </r>
  <r>
    <x v="16"/>
    <x v="132"/>
    <n v="81.64"/>
    <x v="1"/>
  </r>
  <r>
    <x v="5"/>
    <x v="142"/>
    <n v="67.63"/>
    <x v="1"/>
  </r>
  <r>
    <x v="18"/>
    <x v="99"/>
    <n v="38.450000000000003"/>
    <x v="1"/>
  </r>
  <r>
    <x v="23"/>
    <x v="322"/>
    <n v="52.4"/>
    <x v="1"/>
  </r>
  <r>
    <x v="64"/>
    <x v="331"/>
    <n v="28.16"/>
    <x v="1"/>
  </r>
  <r>
    <x v="21"/>
    <x v="113"/>
    <n v="42.26"/>
    <x v="1"/>
  </r>
  <r>
    <x v="35"/>
    <x v="332"/>
    <n v="50.33"/>
    <x v="1"/>
  </r>
  <r>
    <x v="57"/>
    <x v="333"/>
    <n v="49.8"/>
    <x v="1"/>
  </r>
  <r>
    <x v="46"/>
    <x v="102"/>
    <n v="10.96"/>
    <x v="1"/>
  </r>
  <r>
    <x v="51"/>
    <x v="248"/>
    <n v="35.53"/>
    <x v="1"/>
  </r>
  <r>
    <x v="17"/>
    <x v="334"/>
    <n v="21.98"/>
    <x v="1"/>
  </r>
  <r>
    <x v="24"/>
    <x v="39"/>
    <n v="20.84"/>
    <x v="1"/>
  </r>
  <r>
    <x v="57"/>
    <x v="335"/>
    <n v="33.97"/>
    <x v="1"/>
  </r>
  <r>
    <x v="14"/>
    <x v="285"/>
    <n v="48.18"/>
    <x v="1"/>
  </r>
  <r>
    <x v="38"/>
    <x v="68"/>
    <n v="66.959999999999994"/>
    <x v="1"/>
  </r>
  <r>
    <x v="15"/>
    <x v="336"/>
    <n v="65.36"/>
    <x v="1"/>
  </r>
  <r>
    <x v="1"/>
    <x v="152"/>
    <n v="25.68"/>
    <x v="1"/>
  </r>
  <r>
    <x v="20"/>
    <x v="337"/>
    <n v="53.51"/>
    <x v="1"/>
  </r>
  <r>
    <x v="60"/>
    <x v="338"/>
    <n v="92.88"/>
    <x v="1"/>
  </r>
  <r>
    <x v="10"/>
    <x v="241"/>
    <n v="61.63"/>
    <x v="1"/>
  </r>
  <r>
    <x v="11"/>
    <x v="339"/>
    <n v="37.869999999999997"/>
    <x v="1"/>
  </r>
  <r>
    <x v="6"/>
    <x v="336"/>
    <n v="24.61"/>
    <x v="1"/>
  </r>
  <r>
    <x v="53"/>
    <x v="194"/>
    <n v="40.79"/>
    <x v="1"/>
  </r>
  <r>
    <x v="13"/>
    <x v="19"/>
    <n v="94.26"/>
    <x v="1"/>
  </r>
  <r>
    <x v="64"/>
    <x v="125"/>
    <n v="84.26"/>
    <x v="1"/>
  </r>
  <r>
    <x v="41"/>
    <x v="210"/>
    <n v="77.36"/>
    <x v="1"/>
  </r>
  <r>
    <x v="17"/>
    <x v="340"/>
    <n v="40.15"/>
    <x v="1"/>
  </r>
  <r>
    <x v="35"/>
    <x v="88"/>
    <n v="36.200000000000003"/>
    <x v="1"/>
  </r>
  <r>
    <x v="44"/>
    <x v="287"/>
    <n v="54.49"/>
    <x v="1"/>
  </r>
  <r>
    <x v="58"/>
    <x v="87"/>
    <n v="78.58"/>
    <x v="1"/>
  </r>
  <r>
    <x v="47"/>
    <x v="106"/>
    <n v="61.28"/>
    <x v="1"/>
  </r>
  <r>
    <x v="15"/>
    <x v="216"/>
    <n v="68.12"/>
    <x v="1"/>
  </r>
  <r>
    <x v="10"/>
    <x v="341"/>
    <n v="52.07"/>
    <x v="1"/>
  </r>
  <r>
    <x v="57"/>
    <x v="342"/>
    <n v="54.93"/>
    <x v="1"/>
  </r>
  <r>
    <x v="29"/>
    <x v="91"/>
    <n v="65.84"/>
    <x v="1"/>
  </r>
  <r>
    <x v="31"/>
    <x v="223"/>
    <n v="47.22"/>
    <x v="1"/>
  </r>
  <r>
    <x v="4"/>
    <x v="343"/>
    <n v="34.47"/>
    <x v="1"/>
  </r>
  <r>
    <x v="43"/>
    <x v="344"/>
    <n v="43.55"/>
    <x v="1"/>
  </r>
  <r>
    <x v="36"/>
    <x v="345"/>
    <n v="132.72999999999999"/>
    <x v="1"/>
  </r>
  <r>
    <x v="53"/>
    <x v="346"/>
    <n v="72.349999999999994"/>
    <x v="1"/>
  </r>
  <r>
    <x v="4"/>
    <x v="45"/>
    <n v="62.64"/>
    <x v="1"/>
  </r>
  <r>
    <x v="49"/>
    <x v="289"/>
    <n v="67.069999999999993"/>
    <x v="1"/>
  </r>
  <r>
    <x v="4"/>
    <x v="9"/>
    <n v="61.5"/>
    <x v="1"/>
  </r>
  <r>
    <x v="58"/>
    <x v="103"/>
    <n v="57.83"/>
    <x v="1"/>
  </r>
  <r>
    <x v="29"/>
    <x v="305"/>
    <n v="67.23"/>
    <x v="1"/>
  </r>
  <r>
    <x v="4"/>
    <x v="286"/>
    <n v="59.23"/>
    <x v="1"/>
  </r>
  <r>
    <x v="48"/>
    <x v="323"/>
    <n v="30.81"/>
    <x v="1"/>
  </r>
  <r>
    <x v="35"/>
    <x v="347"/>
    <n v="76.7"/>
    <x v="1"/>
  </r>
  <r>
    <x v="5"/>
    <x v="348"/>
    <n v="66.56"/>
    <x v="1"/>
  </r>
  <r>
    <x v="31"/>
    <x v="190"/>
    <n v="42.13"/>
    <x v="1"/>
  </r>
  <r>
    <x v="4"/>
    <x v="198"/>
    <n v="67.87"/>
    <x v="1"/>
  </r>
  <r>
    <x v="16"/>
    <x v="314"/>
    <n v="35.26"/>
    <x v="1"/>
  </r>
  <r>
    <x v="17"/>
    <x v="100"/>
    <n v="56.39"/>
    <x v="1"/>
  </r>
  <r>
    <x v="44"/>
    <x v="349"/>
    <n v="36.21"/>
    <x v="1"/>
  </r>
  <r>
    <x v="57"/>
    <x v="212"/>
    <n v="101.92"/>
    <x v="1"/>
  </r>
  <r>
    <x v="58"/>
    <x v="118"/>
    <n v="43.75"/>
    <x v="1"/>
  </r>
  <r>
    <x v="50"/>
    <x v="106"/>
    <n v="77.45"/>
    <x v="1"/>
  </r>
  <r>
    <x v="45"/>
    <x v="125"/>
    <n v="80.31"/>
    <x v="1"/>
  </r>
  <r>
    <x v="30"/>
    <x v="149"/>
    <n v="104.75"/>
    <x v="1"/>
  </r>
  <r>
    <x v="43"/>
    <x v="141"/>
    <n v="79.25"/>
    <x v="1"/>
  </r>
  <r>
    <x v="9"/>
    <x v="279"/>
    <n v="78.2"/>
    <x v="1"/>
  </r>
  <r>
    <x v="48"/>
    <x v="196"/>
    <n v="89.07"/>
    <x v="1"/>
  </r>
  <r>
    <x v="58"/>
    <x v="302"/>
    <n v="62.98"/>
    <x v="1"/>
  </r>
  <r>
    <x v="65"/>
    <x v="350"/>
    <n v="72.78"/>
    <x v="1"/>
  </r>
  <r>
    <x v="4"/>
    <x v="351"/>
    <n v="110.48"/>
    <x v="1"/>
  </r>
  <r>
    <x v="45"/>
    <x v="112"/>
    <n v="51"/>
    <x v="1"/>
  </r>
  <r>
    <x v="3"/>
    <x v="352"/>
    <n v="77.39"/>
    <x v="1"/>
  </r>
  <r>
    <x v="6"/>
    <x v="353"/>
    <n v="53.52"/>
    <x v="1"/>
  </r>
  <r>
    <x v="51"/>
    <x v="332"/>
    <n v="69.069999999999993"/>
    <x v="1"/>
  </r>
  <r>
    <x v="25"/>
    <x v="190"/>
    <n v="87.01"/>
    <x v="1"/>
  </r>
  <r>
    <x v="35"/>
    <x v="354"/>
    <n v="31.75"/>
    <x v="1"/>
  </r>
  <r>
    <x v="42"/>
    <x v="239"/>
    <n v="70.38"/>
    <x v="1"/>
  </r>
  <r>
    <x v="6"/>
    <x v="151"/>
    <n v="55.73"/>
    <x v="1"/>
  </r>
  <r>
    <x v="10"/>
    <x v="261"/>
    <n v="52.93"/>
    <x v="1"/>
  </r>
  <r>
    <x v="35"/>
    <x v="224"/>
    <n v="59.47"/>
    <x v="1"/>
  </r>
  <r>
    <x v="24"/>
    <x v="233"/>
    <n v="51.43"/>
    <x v="1"/>
  </r>
  <r>
    <x v="23"/>
    <x v="212"/>
    <n v="63.35"/>
    <x v="1"/>
  </r>
  <r>
    <x v="43"/>
    <x v="102"/>
    <n v="44.95"/>
    <x v="1"/>
  </r>
  <r>
    <x v="18"/>
    <x v="352"/>
    <n v="70.88"/>
    <x v="1"/>
  </r>
  <r>
    <x v="11"/>
    <x v="355"/>
    <n v="61.87"/>
    <x v="1"/>
  </r>
  <r>
    <x v="25"/>
    <x v="356"/>
    <n v="36.71"/>
    <x v="1"/>
  </r>
  <r>
    <x v="37"/>
    <x v="77"/>
    <n v="47.75"/>
    <x v="1"/>
  </r>
  <r>
    <x v="23"/>
    <x v="357"/>
    <n v="60.12"/>
    <x v="1"/>
  </r>
  <r>
    <x v="58"/>
    <x v="276"/>
    <n v="57.6"/>
    <x v="1"/>
  </r>
  <r>
    <x v="43"/>
    <x v="358"/>
    <n v="42.98"/>
    <x v="1"/>
  </r>
  <r>
    <x v="0"/>
    <x v="304"/>
    <n v="83.38"/>
    <x v="1"/>
  </r>
  <r>
    <x v="25"/>
    <x v="359"/>
    <n v="71.98"/>
    <x v="1"/>
  </r>
  <r>
    <x v="24"/>
    <x v="360"/>
    <n v="25.28"/>
    <x v="1"/>
  </r>
  <r>
    <x v="22"/>
    <x v="361"/>
    <n v="31.1"/>
    <x v="1"/>
  </r>
  <r>
    <x v="39"/>
    <x v="362"/>
    <n v="19.010000000000002"/>
    <x v="1"/>
  </r>
  <r>
    <x v="37"/>
    <x v="209"/>
    <n v="21.99"/>
    <x v="1"/>
  </r>
  <r>
    <x v="21"/>
    <x v="209"/>
    <n v="18.28"/>
    <x v="1"/>
  </r>
  <r>
    <x v="42"/>
    <x v="363"/>
    <n v="38.9"/>
    <x v="1"/>
  </r>
  <r>
    <x v="48"/>
    <x v="364"/>
    <n v="51.98"/>
    <x v="1"/>
  </r>
  <r>
    <x v="38"/>
    <x v="365"/>
    <n v="39.54"/>
    <x v="1"/>
  </r>
  <r>
    <x v="30"/>
    <x v="366"/>
    <n v="30.68"/>
    <x v="1"/>
  </r>
  <r>
    <x v="36"/>
    <x v="367"/>
    <n v="43.26"/>
    <x v="1"/>
  </r>
  <r>
    <x v="47"/>
    <x v="365"/>
    <n v="14"/>
    <x v="1"/>
  </r>
  <r>
    <x v="41"/>
    <x v="362"/>
    <n v="32.700000000000003"/>
    <x v="1"/>
  </r>
  <r>
    <x v="45"/>
    <x v="368"/>
    <n v="33.03"/>
    <x v="1"/>
  </r>
  <r>
    <x v="7"/>
    <x v="369"/>
    <n v="31.37"/>
    <x v="1"/>
  </r>
  <r>
    <x v="9"/>
    <x v="370"/>
    <n v="34.97"/>
    <x v="1"/>
  </r>
  <r>
    <x v="0"/>
    <x v="371"/>
    <n v="63"/>
    <x v="1"/>
  </r>
  <r>
    <x v="48"/>
    <x v="365"/>
    <n v="51.99"/>
    <x v="1"/>
  </r>
  <r>
    <x v="42"/>
    <x v="369"/>
    <n v="67.260000000000005"/>
    <x v="1"/>
  </r>
  <r>
    <x v="33"/>
    <x v="372"/>
    <n v="48.57"/>
    <x v="1"/>
  </r>
  <r>
    <x v="4"/>
    <x v="361"/>
    <n v="48.14"/>
    <x v="1"/>
  </r>
  <r>
    <x v="22"/>
    <x v="373"/>
    <n v="34.53"/>
    <x v="1"/>
  </r>
  <r>
    <x v="17"/>
    <x v="374"/>
    <n v="11.95"/>
    <x v="1"/>
  </r>
  <r>
    <x v="64"/>
    <x v="375"/>
    <n v="16.579999999999998"/>
    <x v="1"/>
  </r>
  <r>
    <x v="11"/>
    <x v="376"/>
    <n v="50.34"/>
    <x v="1"/>
  </r>
  <r>
    <x v="4"/>
    <x v="376"/>
    <n v="44.87"/>
    <x v="1"/>
  </r>
  <r>
    <x v="36"/>
    <x v="377"/>
    <n v="6.97"/>
    <x v="1"/>
  </r>
  <r>
    <x v="52"/>
    <x v="372"/>
    <n v="30.33"/>
    <x v="1"/>
  </r>
  <r>
    <x v="19"/>
    <x v="367"/>
    <n v="42.51"/>
    <x v="1"/>
  </r>
  <r>
    <x v="10"/>
    <x v="362"/>
    <n v="29.17"/>
    <x v="1"/>
  </r>
  <r>
    <x v="11"/>
    <x v="378"/>
    <n v="31.65"/>
    <x v="1"/>
  </r>
  <r>
    <x v="14"/>
    <x v="366"/>
    <n v="58.89"/>
    <x v="1"/>
  </r>
  <r>
    <x v="3"/>
    <x v="364"/>
    <n v="22.47"/>
    <x v="1"/>
  </r>
  <r>
    <x v="15"/>
    <x v="367"/>
    <n v="9.8000000000000007"/>
    <x v="1"/>
  </r>
  <r>
    <x v="58"/>
    <x v="370"/>
    <n v="23.33"/>
    <x v="1"/>
  </r>
  <r>
    <x v="11"/>
    <x v="376"/>
    <n v="23.5"/>
    <x v="1"/>
  </r>
  <r>
    <x v="4"/>
    <x v="209"/>
    <n v="18.52"/>
    <x v="1"/>
  </r>
  <r>
    <x v="31"/>
    <x v="368"/>
    <n v="41.24"/>
    <x v="1"/>
  </r>
  <r>
    <x v="38"/>
    <x v="368"/>
    <n v="43.28"/>
    <x v="1"/>
  </r>
  <r>
    <x v="8"/>
    <x v="379"/>
    <n v="28.32"/>
    <x v="1"/>
  </r>
  <r>
    <x v="24"/>
    <x v="378"/>
    <n v="26.05"/>
    <x v="1"/>
  </r>
  <r>
    <x v="22"/>
    <x v="374"/>
    <n v="50.93"/>
    <x v="1"/>
  </r>
  <r>
    <x v="48"/>
    <x v="380"/>
    <n v="22.59"/>
    <x v="1"/>
  </r>
  <r>
    <x v="50"/>
    <x v="368"/>
    <n v="35.11"/>
    <x v="1"/>
  </r>
  <r>
    <x v="20"/>
    <x v="371"/>
    <n v="11.14"/>
    <x v="1"/>
  </r>
  <r>
    <x v="14"/>
    <x v="380"/>
    <n v="43.17"/>
    <x v="1"/>
  </r>
  <r>
    <x v="41"/>
    <x v="373"/>
    <n v="12.65"/>
    <x v="1"/>
  </r>
  <r>
    <x v="9"/>
    <x v="374"/>
    <n v="27.84"/>
    <x v="1"/>
  </r>
  <r>
    <x v="44"/>
    <x v="381"/>
    <n v="38.61"/>
    <x v="1"/>
  </r>
  <r>
    <x v="60"/>
    <x v="382"/>
    <n v="17.32"/>
    <x v="1"/>
  </r>
  <r>
    <x v="25"/>
    <x v="370"/>
    <n v="22.81"/>
    <x v="1"/>
  </r>
  <r>
    <x v="8"/>
    <x v="383"/>
    <n v="87.75"/>
    <x v="1"/>
  </r>
  <r>
    <x v="13"/>
    <x v="384"/>
    <n v="95.73"/>
    <x v="1"/>
  </r>
  <r>
    <x v="4"/>
    <x v="385"/>
    <n v="110.81"/>
    <x v="1"/>
  </r>
  <r>
    <x v="15"/>
    <x v="386"/>
    <n v="120.86"/>
    <x v="1"/>
  </r>
  <r>
    <x v="47"/>
    <x v="387"/>
    <n v="51.82"/>
    <x v="1"/>
  </r>
  <r>
    <x v="29"/>
    <x v="388"/>
    <n v="88.57"/>
    <x v="1"/>
  </r>
  <r>
    <x v="29"/>
    <x v="389"/>
    <n v="82.02"/>
    <x v="1"/>
  </r>
  <r>
    <x v="14"/>
    <x v="385"/>
    <n v="105.61"/>
    <x v="1"/>
  </r>
  <r>
    <x v="20"/>
    <x v="390"/>
    <n v="83.86"/>
    <x v="1"/>
  </r>
  <r>
    <x v="32"/>
    <x v="391"/>
    <n v="90.89"/>
    <x v="1"/>
  </r>
  <r>
    <x v="11"/>
    <x v="388"/>
    <n v="89.68"/>
    <x v="1"/>
  </r>
  <r>
    <x v="53"/>
    <x v="392"/>
    <n v="103.09"/>
    <x v="1"/>
  </r>
  <r>
    <x v="36"/>
    <x v="393"/>
    <n v="105.6"/>
    <x v="1"/>
  </r>
  <r>
    <x v="29"/>
    <x v="383"/>
    <n v="99.6"/>
    <x v="1"/>
  </r>
  <r>
    <x v="30"/>
    <x v="394"/>
    <n v="95.17"/>
    <x v="1"/>
  </r>
  <r>
    <x v="24"/>
    <x v="391"/>
    <n v="57.01"/>
    <x v="1"/>
  </r>
  <r>
    <x v="12"/>
    <x v="393"/>
    <n v="78.2"/>
    <x v="1"/>
  </r>
  <r>
    <x v="16"/>
    <x v="395"/>
    <n v="103.88"/>
    <x v="1"/>
  </r>
  <r>
    <x v="4"/>
    <x v="384"/>
    <n v="83.21"/>
    <x v="1"/>
  </r>
  <r>
    <x v="40"/>
    <x v="394"/>
    <n v="114.96"/>
    <x v="1"/>
  </r>
  <r>
    <x v="0"/>
    <x v="394"/>
    <n v="79.23"/>
    <x v="1"/>
  </r>
  <r>
    <x v="10"/>
    <x v="396"/>
    <n v="45.79"/>
    <x v="1"/>
  </r>
  <r>
    <x v="44"/>
    <x v="397"/>
    <n v="56.37"/>
    <x v="1"/>
  </r>
  <r>
    <x v="8"/>
    <x v="398"/>
    <n v="91.79"/>
    <x v="1"/>
  </r>
  <r>
    <x v="58"/>
    <x v="387"/>
    <n v="85.37"/>
    <x v="1"/>
  </r>
  <r>
    <x v="29"/>
    <x v="399"/>
    <n v="96.74"/>
    <x v="1"/>
  </r>
  <r>
    <x v="10"/>
    <x v="400"/>
    <n v="88.16"/>
    <x v="1"/>
  </r>
  <r>
    <x v="26"/>
    <x v="399"/>
    <n v="109.42"/>
    <x v="1"/>
  </r>
  <r>
    <x v="20"/>
    <x v="393"/>
    <n v="74.97"/>
    <x v="1"/>
  </r>
  <r>
    <x v="19"/>
    <x v="401"/>
    <n v="100.82"/>
    <x v="1"/>
  </r>
  <r>
    <x v="40"/>
    <x v="402"/>
    <n v="63.32"/>
    <x v="1"/>
  </r>
  <r>
    <x v="44"/>
    <x v="383"/>
    <n v="92.43"/>
    <x v="1"/>
  </r>
  <r>
    <x v="41"/>
    <x v="390"/>
    <n v="92.08"/>
    <x v="1"/>
  </r>
  <r>
    <x v="18"/>
    <x v="403"/>
    <n v="93.63"/>
    <x v="1"/>
  </r>
  <r>
    <x v="36"/>
    <x v="400"/>
    <n v="98.34"/>
    <x v="1"/>
  </r>
  <r>
    <x v="10"/>
    <x v="404"/>
    <n v="87.63"/>
    <x v="1"/>
  </r>
  <r>
    <x v="43"/>
    <x v="405"/>
    <n v="64.5"/>
    <x v="1"/>
  </r>
  <r>
    <x v="5"/>
    <x v="387"/>
    <n v="80"/>
    <x v="1"/>
  </r>
  <r>
    <x v="45"/>
    <x v="389"/>
    <n v="99.73"/>
    <x v="1"/>
  </r>
  <r>
    <x v="50"/>
    <x v="406"/>
    <n v="89.49"/>
    <x v="1"/>
  </r>
  <r>
    <x v="23"/>
    <x v="405"/>
    <n v="95.39"/>
    <x v="1"/>
  </r>
  <r>
    <x v="5"/>
    <x v="390"/>
    <n v="94.07"/>
    <x v="1"/>
  </r>
  <r>
    <x v="18"/>
    <x v="385"/>
    <n v="99.72"/>
    <x v="1"/>
  </r>
  <r>
    <x v="15"/>
    <x v="407"/>
    <n v="77.13"/>
    <x v="1"/>
  </r>
  <r>
    <x v="64"/>
    <x v="408"/>
    <n v="67.31"/>
    <x v="1"/>
  </r>
  <r>
    <x v="51"/>
    <x v="409"/>
    <n v="118.49"/>
    <x v="1"/>
  </r>
  <r>
    <x v="18"/>
    <x v="401"/>
    <n v="67.2"/>
    <x v="1"/>
  </r>
  <r>
    <x v="18"/>
    <x v="385"/>
    <n v="100.55"/>
    <x v="1"/>
  </r>
  <r>
    <x v="41"/>
    <x v="391"/>
    <n v="79.36"/>
    <x v="1"/>
  </r>
  <r>
    <x v="45"/>
    <x v="399"/>
    <n v="90.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50DB7-877C-4740-A75B-41D45AE693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 chartFormat="1" rowHeaderCaption="ID Client">
  <location ref="A1:G70" firstHeaderRow="1" firstDataRow="3" firstDataCol="1"/>
  <pivotFields count="4">
    <pivotField axis="axisRow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3" subtotal="count" baseField="0" baseItem="0"/>
    <dataField name="Chiffre d'affaires" fld="2" baseField="0" baseItem="0" numFmtId="165"/>
  </dataFields>
  <formats count="57"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3" type="button" dataOnly="0" labelOnly="1" outline="0" axis="axisCol" fieldPosition="0"/>
    </format>
    <format dxfId="52">
      <pivotArea field="-2" type="button" dataOnly="0" labelOnly="1" outline="0" axis="axisCol" fieldPosition="1"/>
    </format>
    <format dxfId="51">
      <pivotArea type="topRight" dataOnly="0" labelOnly="1" outline="0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48">
      <pivotArea dataOnly="0" labelOnly="1" fieldPosition="0">
        <references count="1">
          <reference field="0" count="16">
            <x v="1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1">
      <pivotArea type="origin" dataOnly="0" labelOnly="1" outline="0" offset="A2" fieldPosition="0"/>
    </format>
    <format dxfId="40">
      <pivotArea field="0" type="button" dataOnly="0" labelOnly="1" outline="0" axis="axisRow" fieldPosition="0"/>
    </format>
    <format dxfId="39">
      <pivotArea type="origin" dataOnly="0" labelOnly="1" outline="0" offset="A2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6">
      <pivotArea dataOnly="0" labelOnly="1" fieldPosition="0">
        <references count="1">
          <reference field="0" count="16">
            <x v="1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35">
      <pivotArea dataOnly="0" labelOnly="1" grandRow="1" outline="0" fieldPosition="0"/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3" count="1">
            <x v="0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31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3" count="1" selected="0">
            <x v="0"/>
          </reference>
        </references>
      </pivotArea>
    </format>
    <format dxfId="30">
      <pivotArea field="3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29">
      <pivotArea field="3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28">
      <pivotArea dataOnly="0" labelOnly="1" fieldPosition="0">
        <references count="1">
          <reference field="3" count="1">
            <x v="1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26">
      <pivotArea collapsedLevelsAreSubtotals="1" fieldPosition="0">
        <references count="3">
          <reference field="4294967294" count="2" selected="0">
            <x v="0"/>
            <x v="1"/>
          </reference>
          <reference field="0" count="5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6"/>
          </reference>
          <reference field="3" count="1" selected="0">
            <x v="1"/>
          </reference>
        </references>
      </pivotArea>
    </format>
    <format dxfId="25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3" count="1" selected="0">
            <x v="1"/>
          </reference>
        </references>
      </pivotArea>
    </format>
    <format dxfId="24">
      <pivotArea field="3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3" count="1" selected="0">
            <x v="1"/>
          </reference>
        </references>
      </pivotArea>
    </format>
    <format dxfId="2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7">
      <pivotArea field="3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3" count="1" selected="0">
            <x v="1"/>
          </reference>
        </references>
      </pivotArea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field="0" grandCol="1" collapsedLevelsAreSubtotals="1" axis="axisRow" fieldPosition="0">
        <references count="2">
          <reference field="4294967294" count="2" selected="0">
            <x v="0"/>
            <x v="1"/>
          </reference>
          <reference field="0" count="0"/>
        </references>
      </pivotArea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8">
      <pivotArea dataOnly="0" labelOnly="1" fieldPosition="0">
        <references count="1">
          <reference field="0" count="16">
            <x v="1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">
      <pivotArea type="origin" dataOnly="0" labelOnly="1" outline="0" offset="A2" fieldPosition="0"/>
    </format>
    <format dxfId="0">
      <pivotArea field="0" type="button" dataOnly="0" labelOnly="1" outline="0" axis="axisRow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 totalsRowShown="0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Z1000"/>
  <sheetViews>
    <sheetView tabSelected="1" topLeftCell="A41" zoomScaleNormal="100" workbookViewId="0">
      <selection activeCell="M57" sqref="M57"/>
    </sheetView>
  </sheetViews>
  <sheetFormatPr defaultColWidth="14.5703125" defaultRowHeight="15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x14ac:dyDescent="0.5">
      <c r="A2" s="2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2"/>
      <c r="C6" s="87" t="s">
        <v>1</v>
      </c>
      <c r="D6" s="88" t="s">
        <v>2</v>
      </c>
      <c r="E6" s="88" t="s">
        <v>3</v>
      </c>
      <c r="F6" s="88" t="s">
        <v>4</v>
      </c>
      <c r="G6" s="88" t="s">
        <v>5</v>
      </c>
      <c r="H6" s="89" t="s">
        <v>6</v>
      </c>
      <c r="I6" s="2"/>
      <c r="J6" s="90" t="s">
        <v>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87"/>
      <c r="D7" s="88"/>
      <c r="E7" s="88"/>
      <c r="F7" s="88"/>
      <c r="G7" s="88"/>
      <c r="H7" s="89"/>
      <c r="I7" s="2"/>
      <c r="J7" s="9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2"/>
      <c r="B8" s="3" t="s">
        <v>8</v>
      </c>
      <c r="C8" s="4">
        <v>10543</v>
      </c>
      <c r="D8" s="5">
        <v>11458</v>
      </c>
      <c r="E8" s="5">
        <v>13520</v>
      </c>
      <c r="F8" s="5">
        <v>14023</v>
      </c>
      <c r="G8" s="5">
        <v>14983</v>
      </c>
      <c r="H8" s="6">
        <f>SUMIF('DATA Février (clients affiliés)'!D1:D700,"bien de conso.",'DATA Février (clients affiliés)'!C1:C700)</f>
        <v>14763.899999999994</v>
      </c>
      <c r="I8" s="7"/>
      <c r="J8" s="8">
        <f>SUM(C8:H8)</f>
        <v>79290.899999999994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2"/>
      <c r="B9" s="9" t="s">
        <v>9</v>
      </c>
      <c r="C9" s="10">
        <v>13855</v>
      </c>
      <c r="D9" s="11">
        <v>16052</v>
      </c>
      <c r="E9" s="11">
        <v>16797</v>
      </c>
      <c r="F9" s="11">
        <v>17582</v>
      </c>
      <c r="G9" s="11">
        <v>18216</v>
      </c>
      <c r="H9" s="12">
        <f>SUMIF('DATA Février (clients affiliés)'!D1:D700,"nourriture",'DATA Février (clients affiliés)'!C1:C700)</f>
        <v>24898.819999999992</v>
      </c>
      <c r="I9" s="7"/>
      <c r="J9" s="8">
        <f>SUM(C9:H9)</f>
        <v>107400.81999999999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5">
      <c r="A10" s="2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6">
        <f>SUMIF('DATA Février (clients affiliés)'!D1:D700,"high tech",'DATA Février (clients affiliés)'!C1:C700)</f>
        <v>0</v>
      </c>
      <c r="I10" s="7"/>
      <c r="J10" s="8">
        <f>SUM(C10:H10)</f>
        <v>18055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25">
      <c r="A11" s="2"/>
      <c r="B11" s="16" t="s">
        <v>11</v>
      </c>
      <c r="C11" s="17">
        <v>27400</v>
      </c>
      <c r="D11" s="18">
        <v>31279</v>
      </c>
      <c r="E11" s="18">
        <v>34547</v>
      </c>
      <c r="F11" s="18">
        <v>35946</v>
      </c>
      <c r="G11" s="18">
        <v>35912</v>
      </c>
      <c r="H11" s="19">
        <f>SUM(H8:H10)</f>
        <v>39662.719999999987</v>
      </c>
      <c r="I11" s="20"/>
      <c r="J11" s="8">
        <f>SUM(C11:H11)</f>
        <v>204746.71999999997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5">
      <c r="A14" s="2"/>
      <c r="B14" s="1" t="s">
        <v>12</v>
      </c>
      <c r="C14" s="21" t="s">
        <v>13</v>
      </c>
      <c r="D14" s="22" t="s">
        <v>14</v>
      </c>
      <c r="E14" s="2"/>
      <c r="F14" s="2"/>
      <c r="G14" s="2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4" t="s">
        <v>15</v>
      </c>
      <c r="C15" s="25">
        <f>COUNTIF('DATA Février (clients affiliés)'!B2:B661,"&lt;4")</f>
        <v>47</v>
      </c>
      <c r="D15" s="25">
        <f>SUMIF('DATA Février (clients affiliés)'!B2:B661,"&lt;4",'DATA Février (clients affiliés)'!C2:C661)</f>
        <v>1562.7299999999998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6" t="s">
        <v>16</v>
      </c>
      <c r="C16" s="25">
        <f>COUNTIF('DATA Février (clients affiliés)'!B2:B662,"&gt;9,5")</f>
        <v>91</v>
      </c>
      <c r="D16" s="25">
        <f>SUMIF('DATA Février (clients affiliés)'!B3:B662,"&gt;9,5",'DATA Février (clients affiliés)'!C3:C662)</f>
        <v>7577.3200000000006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3" customHeight="1" x14ac:dyDescent="0.25">
      <c r="A20" s="2"/>
      <c r="B20" s="85" t="s">
        <v>17</v>
      </c>
      <c r="C20" s="85"/>
      <c r="D20" s="85"/>
      <c r="E20" s="85"/>
      <c r="F20" s="85"/>
      <c r="G20" s="85"/>
      <c r="H20" s="85"/>
      <c r="I20" s="85"/>
      <c r="J20" s="8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7"/>
      <c r="C21" s="2"/>
      <c r="D21" s="2"/>
      <c r="E21" s="2"/>
      <c r="F21" s="2"/>
      <c r="G21" s="2"/>
      <c r="H21" s="2"/>
      <c r="I21" s="2"/>
      <c r="J21" s="2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7"/>
      <c r="C22" s="2"/>
      <c r="D22" s="2"/>
      <c r="E22" s="2"/>
      <c r="F22" s="2"/>
      <c r="G22" s="2"/>
      <c r="H22" s="2"/>
      <c r="I22" s="2"/>
      <c r="J22" s="2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7"/>
      <c r="C23" s="2"/>
      <c r="D23" s="2"/>
      <c r="E23" s="2"/>
      <c r="F23" s="2"/>
      <c r="G23" s="2"/>
      <c r="H23" s="2"/>
      <c r="I23" s="2"/>
      <c r="J23" s="2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7"/>
      <c r="C24" s="2"/>
      <c r="D24" s="2"/>
      <c r="E24" s="2"/>
      <c r="F24" s="2"/>
      <c r="G24" s="2"/>
      <c r="H24" s="2"/>
      <c r="I24" s="2"/>
      <c r="J24" s="2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7"/>
      <c r="C25" s="2"/>
      <c r="D25" s="2"/>
      <c r="E25" s="2"/>
      <c r="F25" s="2"/>
      <c r="G25" s="2"/>
      <c r="H25" s="2"/>
      <c r="I25" s="2"/>
      <c r="J25" s="28"/>
      <c r="K25" s="2"/>
      <c r="L25" s="3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7"/>
      <c r="C26" s="2"/>
      <c r="D26" s="2"/>
      <c r="E26" s="2"/>
      <c r="F26" s="2"/>
      <c r="G26" s="2"/>
      <c r="H26" s="2"/>
      <c r="I26" s="2"/>
      <c r="J26" s="2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7"/>
      <c r="C27" s="2"/>
      <c r="D27" s="2"/>
      <c r="E27" s="2"/>
      <c r="F27" s="2"/>
      <c r="G27" s="2"/>
      <c r="H27" s="2"/>
      <c r="I27" s="2"/>
      <c r="J27" s="2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7"/>
      <c r="C28" s="2"/>
      <c r="D28" s="2"/>
      <c r="E28" s="2"/>
      <c r="F28" s="2"/>
      <c r="G28" s="2"/>
      <c r="H28" s="2"/>
      <c r="I28" s="2"/>
      <c r="J28" s="2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7"/>
      <c r="C29" s="2"/>
      <c r="D29" s="2"/>
      <c r="E29" s="2"/>
      <c r="F29" s="2"/>
      <c r="G29" s="2"/>
      <c r="H29" s="2"/>
      <c r="I29" s="2"/>
      <c r="J29" s="2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7"/>
      <c r="C30" s="2"/>
      <c r="D30" s="2"/>
      <c r="E30" s="2"/>
      <c r="F30" s="2"/>
      <c r="G30" s="2"/>
      <c r="H30" s="2"/>
      <c r="I30" s="2"/>
      <c r="J30" s="2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7"/>
      <c r="C31" s="2"/>
      <c r="D31" s="2"/>
      <c r="E31" s="2"/>
      <c r="F31" s="2"/>
      <c r="G31" s="2"/>
      <c r="H31" s="2"/>
      <c r="I31" s="2"/>
      <c r="J31" s="2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7"/>
      <c r="C32" s="2"/>
      <c r="D32" s="2"/>
      <c r="E32" s="2"/>
      <c r="F32" s="2"/>
      <c r="G32" s="2"/>
      <c r="H32" s="2"/>
      <c r="I32" s="2"/>
      <c r="J32" s="2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7"/>
      <c r="C33" s="2"/>
      <c r="D33" s="2"/>
      <c r="E33" s="2"/>
      <c r="F33" s="2"/>
      <c r="G33" s="2"/>
      <c r="H33" s="2"/>
      <c r="I33" s="2"/>
      <c r="J33" s="2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7"/>
      <c r="C34" s="2"/>
      <c r="D34" s="2"/>
      <c r="E34" s="2"/>
      <c r="F34" s="2"/>
      <c r="G34" s="2"/>
      <c r="H34" s="2"/>
      <c r="I34" s="2"/>
      <c r="J34" s="2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7"/>
      <c r="C35" s="2"/>
      <c r="D35" s="2"/>
      <c r="E35" s="2"/>
      <c r="F35" s="2"/>
      <c r="G35" s="2"/>
      <c r="H35" s="2"/>
      <c r="I35" s="2"/>
      <c r="J35" s="2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7"/>
      <c r="C36" s="2"/>
      <c r="D36" s="2"/>
      <c r="E36" s="2"/>
      <c r="F36" s="2"/>
      <c r="G36" s="2"/>
      <c r="H36" s="2"/>
      <c r="I36" s="2"/>
      <c r="J36" s="2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7"/>
      <c r="C37" s="2"/>
      <c r="D37" s="2"/>
      <c r="E37" s="2"/>
      <c r="F37" s="2"/>
      <c r="G37" s="2"/>
      <c r="H37" s="2"/>
      <c r="I37" s="2"/>
      <c r="J37" s="2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7"/>
      <c r="C38" s="2"/>
      <c r="D38" s="2"/>
      <c r="E38" s="2"/>
      <c r="F38" s="2"/>
      <c r="G38" s="2"/>
      <c r="H38" s="2"/>
      <c r="I38" s="2"/>
      <c r="J38" s="2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7"/>
      <c r="C39" s="2"/>
      <c r="D39" s="2"/>
      <c r="E39" s="2"/>
      <c r="F39" s="2"/>
      <c r="G39" s="2"/>
      <c r="H39" s="2"/>
      <c r="I39" s="2"/>
      <c r="J39" s="2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7"/>
      <c r="C40" s="2"/>
      <c r="D40" s="2"/>
      <c r="E40" s="2"/>
      <c r="F40" s="2"/>
      <c r="G40" s="2"/>
      <c r="H40" s="2"/>
      <c r="I40" s="2"/>
      <c r="J40" s="2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7"/>
      <c r="C41" s="2"/>
      <c r="D41" s="2"/>
      <c r="E41" s="2"/>
      <c r="F41" s="2"/>
      <c r="G41" s="2"/>
      <c r="H41" s="2"/>
      <c r="I41" s="2"/>
      <c r="J41" s="2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7"/>
      <c r="C42" s="2"/>
      <c r="D42" s="2"/>
      <c r="E42" s="2"/>
      <c r="F42" s="2"/>
      <c r="G42" s="2"/>
      <c r="H42" s="2"/>
      <c r="I42" s="2"/>
      <c r="J42" s="2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9"/>
      <c r="C43" s="30"/>
      <c r="D43" s="30"/>
      <c r="E43" s="30"/>
      <c r="F43" s="30"/>
      <c r="G43" s="30"/>
      <c r="H43" s="30"/>
      <c r="I43" s="30"/>
      <c r="J43" s="3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3" customHeight="1" x14ac:dyDescent="0.25">
      <c r="A45" s="2"/>
      <c r="B45" s="85" t="s">
        <v>18</v>
      </c>
      <c r="C45" s="85"/>
      <c r="D45" s="85"/>
      <c r="E45" s="85"/>
      <c r="F45" s="85"/>
      <c r="G45" s="85"/>
      <c r="H45" s="85"/>
      <c r="I45" s="85"/>
      <c r="J45" s="8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7"/>
      <c r="C46" s="2"/>
      <c r="D46" s="2"/>
      <c r="E46" s="2"/>
      <c r="F46" s="2"/>
      <c r="G46" s="2"/>
      <c r="H46" s="2"/>
      <c r="I46" s="2"/>
      <c r="J46" s="2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7"/>
      <c r="C47" s="2"/>
      <c r="D47" s="2"/>
      <c r="E47" s="2"/>
      <c r="F47" s="2"/>
      <c r="G47" s="2"/>
      <c r="H47" s="2"/>
      <c r="I47" s="2"/>
      <c r="J47" s="2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7"/>
      <c r="C48" s="2"/>
      <c r="D48" s="2"/>
      <c r="E48" s="2"/>
      <c r="F48" s="2"/>
      <c r="G48" s="2"/>
      <c r="H48" s="2"/>
      <c r="I48" s="2"/>
      <c r="J48" s="2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7"/>
      <c r="C49" s="2"/>
      <c r="D49" s="2"/>
      <c r="E49" s="2"/>
      <c r="F49" s="2"/>
      <c r="G49" s="2"/>
      <c r="H49" s="2"/>
      <c r="I49" s="2"/>
      <c r="J49" s="28"/>
      <c r="K49" s="2"/>
      <c r="L49" s="3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7"/>
      <c r="C50" s="2"/>
      <c r="D50" s="2"/>
      <c r="E50" s="2"/>
      <c r="F50" s="2"/>
      <c r="G50" s="2"/>
      <c r="H50" s="2"/>
      <c r="I50" s="2"/>
      <c r="J50" s="28"/>
      <c r="K50" s="2"/>
      <c r="L50" s="3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7"/>
      <c r="C51" s="2"/>
      <c r="D51" s="2"/>
      <c r="E51" s="2"/>
      <c r="F51" s="2"/>
      <c r="G51" s="2"/>
      <c r="H51" s="2"/>
      <c r="I51" s="2"/>
      <c r="J51" s="28"/>
      <c r="K51" s="2"/>
      <c r="L51" s="3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7"/>
      <c r="C52" s="2"/>
      <c r="D52" s="2"/>
      <c r="E52" s="2"/>
      <c r="F52" s="2"/>
      <c r="G52" s="2"/>
      <c r="H52" s="2"/>
      <c r="I52" s="2"/>
      <c r="J52" s="2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7"/>
      <c r="C53" s="2"/>
      <c r="D53" s="2"/>
      <c r="E53" s="2"/>
      <c r="F53" s="2"/>
      <c r="G53" s="2"/>
      <c r="H53" s="2"/>
      <c r="I53" s="2"/>
      <c r="J53" s="2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7"/>
      <c r="C54" s="2"/>
      <c r="D54" s="2"/>
      <c r="E54" s="2"/>
      <c r="F54" s="2"/>
      <c r="G54" s="2"/>
      <c r="H54" s="2"/>
      <c r="I54" s="2"/>
      <c r="J54" s="2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7"/>
      <c r="C55" s="2"/>
      <c r="D55" s="2"/>
      <c r="E55" s="2"/>
      <c r="F55" s="2"/>
      <c r="G55" s="2"/>
      <c r="H55" s="2"/>
      <c r="I55" s="2"/>
      <c r="J55" s="2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7"/>
      <c r="C56" s="2"/>
      <c r="D56" s="2"/>
      <c r="E56" s="2"/>
      <c r="F56" s="2"/>
      <c r="G56" s="2"/>
      <c r="H56" s="2"/>
      <c r="I56" s="2"/>
      <c r="J56" s="2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7"/>
      <c r="C57" s="2"/>
      <c r="D57" s="2"/>
      <c r="E57" s="2"/>
      <c r="F57" s="2"/>
      <c r="G57" s="2"/>
      <c r="H57" s="2"/>
      <c r="I57" s="2"/>
      <c r="J57" s="2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7"/>
      <c r="C58" s="2"/>
      <c r="D58" s="2"/>
      <c r="E58" s="2"/>
      <c r="F58" s="2"/>
      <c r="G58" s="2"/>
      <c r="H58" s="2"/>
      <c r="I58" s="2"/>
      <c r="J58" s="2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7"/>
      <c r="C59" s="2"/>
      <c r="D59" s="2"/>
      <c r="E59" s="2"/>
      <c r="F59" s="2"/>
      <c r="G59" s="2"/>
      <c r="H59" s="2"/>
      <c r="I59" s="2"/>
      <c r="J59" s="2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7"/>
      <c r="C60" s="2"/>
      <c r="D60" s="2"/>
      <c r="E60" s="2"/>
      <c r="F60" s="2"/>
      <c r="G60" s="2"/>
      <c r="H60" s="2"/>
      <c r="I60" s="2"/>
      <c r="J60" s="2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7"/>
      <c r="C61" s="2"/>
      <c r="D61" s="2"/>
      <c r="E61" s="2"/>
      <c r="F61" s="2"/>
      <c r="G61" s="2"/>
      <c r="H61" s="2"/>
      <c r="I61" s="2"/>
      <c r="J61" s="2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7"/>
      <c r="C62" s="2"/>
      <c r="D62" s="2"/>
      <c r="E62" s="2"/>
      <c r="F62" s="2"/>
      <c r="G62" s="2"/>
      <c r="H62" s="2"/>
      <c r="I62" s="2"/>
      <c r="J62" s="2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7"/>
      <c r="C63" s="2"/>
      <c r="D63" s="2"/>
      <c r="E63" s="2"/>
      <c r="F63" s="2"/>
      <c r="G63" s="2"/>
      <c r="H63" s="2"/>
      <c r="I63" s="2"/>
      <c r="J63" s="2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7"/>
      <c r="C64" s="2"/>
      <c r="D64" s="2"/>
      <c r="E64" s="2"/>
      <c r="F64" s="2"/>
      <c r="G64" s="2"/>
      <c r="H64" s="2"/>
      <c r="I64" s="2"/>
      <c r="J64" s="2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7"/>
      <c r="C65" s="2"/>
      <c r="D65" s="2"/>
      <c r="E65" s="2"/>
      <c r="F65" s="2"/>
      <c r="G65" s="2"/>
      <c r="H65" s="2"/>
      <c r="I65" s="2"/>
      <c r="J65" s="2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7"/>
      <c r="C66" s="2"/>
      <c r="D66" s="2"/>
      <c r="E66" s="2"/>
      <c r="F66" s="2"/>
      <c r="G66" s="2"/>
      <c r="H66" s="2"/>
      <c r="I66" s="2"/>
      <c r="J66" s="2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7"/>
      <c r="C67" s="2"/>
      <c r="D67" s="2"/>
      <c r="E67" s="2"/>
      <c r="F67" s="2"/>
      <c r="G67" s="2"/>
      <c r="H67" s="2"/>
      <c r="I67" s="2"/>
      <c r="J67" s="2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9"/>
      <c r="C68" s="30"/>
      <c r="D68" s="30"/>
      <c r="E68" s="30"/>
      <c r="F68" s="30"/>
      <c r="G68" s="30"/>
      <c r="H68" s="30"/>
      <c r="I68" s="30"/>
      <c r="J68" s="3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3" customHeight="1" x14ac:dyDescent="0.25">
      <c r="A70" s="2"/>
      <c r="B70" s="85" t="s">
        <v>19</v>
      </c>
      <c r="C70" s="85"/>
      <c r="D70" s="85"/>
      <c r="E70" s="85"/>
      <c r="F70" s="85"/>
      <c r="G70" s="85"/>
      <c r="H70" s="85"/>
      <c r="I70" s="85"/>
      <c r="J70" s="8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7"/>
      <c r="C71" s="2"/>
      <c r="D71" s="2"/>
      <c r="E71" s="2"/>
      <c r="F71" s="2"/>
      <c r="G71" s="2"/>
      <c r="H71" s="2"/>
      <c r="I71" s="2"/>
      <c r="J71" s="2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7"/>
      <c r="C72" s="2"/>
      <c r="D72" s="2"/>
      <c r="E72" s="2"/>
      <c r="F72" s="2"/>
      <c r="G72" s="2"/>
      <c r="H72" s="2"/>
      <c r="I72" s="2"/>
      <c r="J72" s="28"/>
      <c r="K72" s="2"/>
      <c r="L72" s="3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7"/>
      <c r="C73" s="2"/>
      <c r="D73" s="2"/>
      <c r="E73" s="2"/>
      <c r="F73" s="2"/>
      <c r="G73" s="2"/>
      <c r="H73" s="2"/>
      <c r="I73" s="2"/>
      <c r="J73" s="28"/>
      <c r="K73" s="2"/>
      <c r="L73" s="3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7"/>
      <c r="C74" s="2"/>
      <c r="D74" s="2"/>
      <c r="E74" s="2"/>
      <c r="F74" s="2"/>
      <c r="G74" s="2"/>
      <c r="H74" s="2"/>
      <c r="I74" s="2"/>
      <c r="J74" s="28"/>
      <c r="K74" s="2"/>
      <c r="L74" s="3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7"/>
      <c r="C75" s="2"/>
      <c r="D75" s="2"/>
      <c r="E75" s="2"/>
      <c r="F75" s="2"/>
      <c r="G75" s="2"/>
      <c r="H75" s="2"/>
      <c r="I75" s="2"/>
      <c r="J75" s="28"/>
      <c r="K75" s="2"/>
      <c r="L75" s="3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7"/>
      <c r="C76" s="2"/>
      <c r="D76" s="2"/>
      <c r="E76" s="2"/>
      <c r="F76" s="2"/>
      <c r="G76" s="2"/>
      <c r="H76" s="2"/>
      <c r="I76" s="2"/>
      <c r="J76" s="28"/>
      <c r="K76" s="2"/>
      <c r="L76" s="3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7"/>
      <c r="C77" s="2"/>
      <c r="D77" s="2"/>
      <c r="E77" s="2"/>
      <c r="F77" s="2"/>
      <c r="G77" s="2"/>
      <c r="H77" s="2"/>
      <c r="I77" s="2"/>
      <c r="J77" s="2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7"/>
      <c r="C78" s="2"/>
      <c r="D78" s="2"/>
      <c r="E78" s="2"/>
      <c r="F78" s="2"/>
      <c r="G78" s="2"/>
      <c r="H78" s="2"/>
      <c r="I78" s="2"/>
      <c r="J78" s="2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7"/>
      <c r="C79" s="2"/>
      <c r="D79" s="2"/>
      <c r="E79" s="2"/>
      <c r="F79" s="2"/>
      <c r="G79" s="2"/>
      <c r="H79" s="2"/>
      <c r="I79" s="2"/>
      <c r="J79" s="2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7"/>
      <c r="C80" s="2"/>
      <c r="D80" s="2"/>
      <c r="E80" s="2"/>
      <c r="F80" s="2"/>
      <c r="G80" s="2"/>
      <c r="H80" s="2"/>
      <c r="I80" s="2"/>
      <c r="J80" s="2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7"/>
      <c r="C81" s="2"/>
      <c r="D81" s="2"/>
      <c r="E81" s="2"/>
      <c r="F81" s="2"/>
      <c r="G81" s="2"/>
      <c r="H81" s="2"/>
      <c r="I81" s="2"/>
      <c r="J81" s="2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7"/>
      <c r="C82" s="2"/>
      <c r="D82" s="2"/>
      <c r="E82" s="2"/>
      <c r="F82" s="2"/>
      <c r="G82" s="2"/>
      <c r="H82" s="2"/>
      <c r="I82" s="2"/>
      <c r="J82" s="2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7"/>
      <c r="C83" s="2"/>
      <c r="D83" s="2"/>
      <c r="E83" s="2"/>
      <c r="F83" s="2"/>
      <c r="G83" s="2"/>
      <c r="H83" s="2"/>
      <c r="I83" s="2"/>
      <c r="J83" s="2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7"/>
      <c r="C84" s="2"/>
      <c r="D84" s="2"/>
      <c r="E84" s="2"/>
      <c r="F84" s="2"/>
      <c r="G84" s="2"/>
      <c r="H84" s="2"/>
      <c r="I84" s="2"/>
      <c r="J84" s="2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7"/>
      <c r="C85" s="2"/>
      <c r="D85" s="2"/>
      <c r="E85" s="2"/>
      <c r="F85" s="2"/>
      <c r="G85" s="2"/>
      <c r="H85" s="2"/>
      <c r="I85" s="2"/>
      <c r="J85" s="2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7"/>
      <c r="C86" s="2"/>
      <c r="D86" s="2"/>
      <c r="E86" s="2"/>
      <c r="F86" s="2"/>
      <c r="G86" s="2"/>
      <c r="H86" s="2"/>
      <c r="I86" s="2"/>
      <c r="J86" s="2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7"/>
      <c r="C87" s="2"/>
      <c r="D87" s="2"/>
      <c r="E87" s="2"/>
      <c r="F87" s="2"/>
      <c r="G87" s="2"/>
      <c r="H87" s="2"/>
      <c r="I87" s="2"/>
      <c r="J87" s="2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7"/>
      <c r="C88" s="2"/>
      <c r="D88" s="2"/>
      <c r="E88" s="2"/>
      <c r="F88" s="2"/>
      <c r="G88" s="2"/>
      <c r="H88" s="2"/>
      <c r="I88" s="2"/>
      <c r="J88" s="2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7"/>
      <c r="C89" s="2"/>
      <c r="D89" s="2"/>
      <c r="E89" s="2"/>
      <c r="F89" s="2"/>
      <c r="G89" s="2"/>
      <c r="H89" s="2"/>
      <c r="I89" s="2"/>
      <c r="J89" s="2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7"/>
      <c r="C90" s="2"/>
      <c r="D90" s="2"/>
      <c r="E90" s="2"/>
      <c r="F90" s="2"/>
      <c r="G90" s="2"/>
      <c r="H90" s="2"/>
      <c r="I90" s="2"/>
      <c r="J90" s="2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7"/>
      <c r="C91" s="2"/>
      <c r="D91" s="2"/>
      <c r="E91" s="2"/>
      <c r="F91" s="2"/>
      <c r="G91" s="2"/>
      <c r="H91" s="2"/>
      <c r="I91" s="2"/>
      <c r="J91" s="2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7"/>
      <c r="C92" s="2"/>
      <c r="D92" s="2"/>
      <c r="E92" s="2"/>
      <c r="F92" s="2"/>
      <c r="G92" s="2"/>
      <c r="H92" s="2"/>
      <c r="I92" s="2"/>
      <c r="J92" s="2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9"/>
      <c r="C93" s="30"/>
      <c r="D93" s="30"/>
      <c r="E93" s="30"/>
      <c r="F93" s="30"/>
      <c r="G93" s="30"/>
      <c r="H93" s="30"/>
      <c r="I93" s="30"/>
      <c r="J93" s="3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3" customHeight="1" x14ac:dyDescent="0.25">
      <c r="A95" s="2"/>
      <c r="B95" s="85" t="s">
        <v>20</v>
      </c>
      <c r="C95" s="85"/>
      <c r="D95" s="85"/>
      <c r="E95" s="85"/>
      <c r="F95" s="85"/>
      <c r="G95" s="85"/>
      <c r="H95" s="85"/>
      <c r="I95" s="85"/>
      <c r="J95" s="8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7"/>
      <c r="C96" s="2"/>
      <c r="D96" s="2"/>
      <c r="E96" s="2"/>
      <c r="F96" s="2"/>
      <c r="G96" s="2"/>
      <c r="H96" s="2"/>
      <c r="I96" s="2"/>
      <c r="J96" s="2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7"/>
      <c r="C97" s="2"/>
      <c r="D97" s="2"/>
      <c r="E97" s="2"/>
      <c r="F97" s="2"/>
      <c r="G97" s="2"/>
      <c r="H97" s="2"/>
      <c r="I97" s="2"/>
      <c r="J97" s="2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7"/>
      <c r="C98" s="2"/>
      <c r="D98" s="2"/>
      <c r="E98" s="2"/>
      <c r="F98" s="2"/>
      <c r="G98" s="2"/>
      <c r="H98" s="2"/>
      <c r="I98" s="2"/>
      <c r="J98" s="2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7"/>
      <c r="C99" s="2"/>
      <c r="D99" s="2"/>
      <c r="E99" s="2"/>
      <c r="F99" s="2"/>
      <c r="G99" s="2"/>
      <c r="H99" s="2"/>
      <c r="I99" s="2"/>
      <c r="J99" s="2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7"/>
      <c r="C100" s="2"/>
      <c r="D100" s="2"/>
      <c r="E100" s="2"/>
      <c r="F100" s="2"/>
      <c r="G100" s="2"/>
      <c r="H100" s="2"/>
      <c r="I100" s="2"/>
      <c r="J100" s="2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7"/>
      <c r="C101" s="2"/>
      <c r="D101" s="2"/>
      <c r="E101" s="2"/>
      <c r="F101" s="2"/>
      <c r="G101" s="2"/>
      <c r="H101" s="2"/>
      <c r="I101" s="2"/>
      <c r="J101" s="28"/>
      <c r="K101" s="2"/>
      <c r="L101" s="38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7"/>
      <c r="C102" s="2"/>
      <c r="D102" s="2"/>
      <c r="E102" s="2"/>
      <c r="F102" s="2"/>
      <c r="G102" s="2"/>
      <c r="H102" s="2"/>
      <c r="I102" s="2"/>
      <c r="J102" s="28"/>
      <c r="K102" s="2"/>
      <c r="L102" s="38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7"/>
      <c r="C103" s="2"/>
      <c r="D103" s="2"/>
      <c r="E103" s="2"/>
      <c r="F103" s="2"/>
      <c r="G103" s="2"/>
      <c r="H103" s="2"/>
      <c r="I103" s="2"/>
      <c r="J103" s="28"/>
      <c r="K103" s="2"/>
      <c r="L103" s="3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7"/>
      <c r="C104" s="2"/>
      <c r="D104" s="2"/>
      <c r="E104" s="2"/>
      <c r="F104" s="2"/>
      <c r="G104" s="2"/>
      <c r="H104" s="2"/>
      <c r="I104" s="2"/>
      <c r="J104" s="2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7"/>
      <c r="C105" s="2"/>
      <c r="D105" s="2"/>
      <c r="E105" s="2"/>
      <c r="F105" s="2"/>
      <c r="G105" s="2"/>
      <c r="H105" s="2"/>
      <c r="I105" s="2"/>
      <c r="J105" s="28"/>
      <c r="K105" s="2"/>
      <c r="L105" s="2"/>
      <c r="M105" s="2"/>
      <c r="N105" s="2"/>
      <c r="O105" s="2"/>
      <c r="P105" s="2"/>
      <c r="Q105" s="41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7"/>
      <c r="C106" s="2"/>
      <c r="D106" s="2"/>
      <c r="E106" s="2"/>
      <c r="F106" s="2"/>
      <c r="G106" s="2"/>
      <c r="H106" s="2"/>
      <c r="I106" s="2"/>
      <c r="J106" s="2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7"/>
      <c r="C107" s="2"/>
      <c r="D107" s="2"/>
      <c r="E107" s="2"/>
      <c r="F107" s="2"/>
      <c r="G107" s="2"/>
      <c r="H107" s="2"/>
      <c r="I107" s="2"/>
      <c r="J107" s="2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7"/>
      <c r="C108" s="2"/>
      <c r="D108" s="2"/>
      <c r="E108" s="2"/>
      <c r="F108" s="2"/>
      <c r="G108" s="2"/>
      <c r="H108" s="2"/>
      <c r="I108" s="2"/>
      <c r="J108" s="2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7"/>
      <c r="C109" s="2"/>
      <c r="D109" s="2"/>
      <c r="E109" s="2"/>
      <c r="F109" s="2"/>
      <c r="G109" s="2"/>
      <c r="H109" s="2"/>
      <c r="I109" s="2"/>
      <c r="J109" s="2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7"/>
      <c r="C110" s="2"/>
      <c r="D110" s="2"/>
      <c r="E110" s="2"/>
      <c r="F110" s="2"/>
      <c r="G110" s="2"/>
      <c r="H110" s="2"/>
      <c r="I110" s="2"/>
      <c r="J110" s="2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7"/>
      <c r="C111" s="2"/>
      <c r="D111" s="2"/>
      <c r="E111" s="2"/>
      <c r="F111" s="2"/>
      <c r="G111" s="2"/>
      <c r="H111" s="2"/>
      <c r="I111" s="2"/>
      <c r="J111" s="2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7"/>
      <c r="C112" s="2"/>
      <c r="D112" s="2"/>
      <c r="E112" s="2"/>
      <c r="F112" s="2"/>
      <c r="G112" s="2"/>
      <c r="H112" s="2"/>
      <c r="I112" s="2"/>
      <c r="J112" s="2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7"/>
      <c r="C113" s="2"/>
      <c r="D113" s="2"/>
      <c r="E113" s="2"/>
      <c r="F113" s="2"/>
      <c r="G113" s="2"/>
      <c r="H113" s="2"/>
      <c r="I113" s="2"/>
      <c r="J113" s="2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7"/>
      <c r="C114" s="2"/>
      <c r="D114" s="2"/>
      <c r="E114" s="2"/>
      <c r="F114" s="2"/>
      <c r="G114" s="2"/>
      <c r="H114" s="2"/>
      <c r="I114" s="2"/>
      <c r="J114" s="2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7"/>
      <c r="C115" s="2"/>
      <c r="D115" s="2"/>
      <c r="E115" s="2"/>
      <c r="F115" s="2"/>
      <c r="G115" s="2"/>
      <c r="H115" s="2"/>
      <c r="I115" s="2"/>
      <c r="J115" s="2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7"/>
      <c r="C116" s="2"/>
      <c r="D116" s="2"/>
      <c r="E116" s="2"/>
      <c r="F116" s="2"/>
      <c r="G116" s="2"/>
      <c r="H116" s="2"/>
      <c r="I116" s="2"/>
      <c r="J116" s="2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7"/>
      <c r="C117" s="2"/>
      <c r="D117" s="2"/>
      <c r="E117" s="2"/>
      <c r="F117" s="2"/>
      <c r="G117" s="2"/>
      <c r="H117" s="2"/>
      <c r="I117" s="2"/>
      <c r="J117" s="2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9"/>
      <c r="C118" s="30"/>
      <c r="D118" s="30"/>
      <c r="E118" s="30"/>
      <c r="F118" s="30"/>
      <c r="G118" s="30"/>
      <c r="H118" s="30"/>
      <c r="I118" s="30"/>
      <c r="J118" s="3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3" customHeight="1" x14ac:dyDescent="0.25">
      <c r="A120" s="2"/>
      <c r="B120" s="85" t="s">
        <v>21</v>
      </c>
      <c r="C120" s="85"/>
      <c r="D120" s="85"/>
      <c r="E120" s="85"/>
      <c r="F120" s="85"/>
      <c r="G120" s="85"/>
      <c r="H120" s="85"/>
      <c r="I120" s="85"/>
      <c r="J120" s="8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7"/>
      <c r="C121" s="2"/>
      <c r="D121" s="2"/>
      <c r="E121" s="2"/>
      <c r="F121" s="2"/>
      <c r="G121" s="2"/>
      <c r="H121" s="2"/>
      <c r="I121" s="2"/>
      <c r="J121" s="2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7"/>
      <c r="C122" s="2"/>
      <c r="D122" s="2"/>
      <c r="E122" s="2"/>
      <c r="F122" s="2"/>
      <c r="G122" s="2"/>
      <c r="H122" s="2"/>
      <c r="I122" s="2"/>
      <c r="J122" s="28"/>
      <c r="K122" s="2"/>
      <c r="L122" s="38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7"/>
      <c r="C123" s="2"/>
      <c r="D123" s="2"/>
      <c r="E123" s="2"/>
      <c r="F123" s="2"/>
      <c r="G123" s="2"/>
      <c r="H123" s="2"/>
      <c r="I123" s="2"/>
      <c r="J123" s="28"/>
      <c r="K123" s="2"/>
      <c r="L123" s="38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7"/>
      <c r="C124" s="2"/>
      <c r="D124" s="2"/>
      <c r="E124" s="2"/>
      <c r="F124" s="2"/>
      <c r="G124" s="2"/>
      <c r="H124" s="2"/>
      <c r="I124" s="2"/>
      <c r="J124" s="28"/>
      <c r="K124" s="2"/>
      <c r="L124" s="38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7"/>
      <c r="C125" s="2"/>
      <c r="D125" s="2"/>
      <c r="E125" s="2"/>
      <c r="F125" s="2"/>
      <c r="G125" s="2"/>
      <c r="H125" s="2"/>
      <c r="I125" s="2"/>
      <c r="J125" s="28"/>
      <c r="K125" s="2"/>
      <c r="L125" s="39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7"/>
      <c r="C126" s="2"/>
      <c r="D126" s="2"/>
      <c r="E126" s="2"/>
      <c r="F126" s="2"/>
      <c r="G126" s="2"/>
      <c r="H126" s="2"/>
      <c r="I126" s="2"/>
      <c r="J126" s="2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7"/>
      <c r="C127" s="2"/>
      <c r="D127" s="2"/>
      <c r="E127" s="2"/>
      <c r="F127" s="2"/>
      <c r="G127" s="2"/>
      <c r="H127" s="2"/>
      <c r="I127" s="2"/>
      <c r="J127" s="2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7"/>
      <c r="C128" s="2"/>
      <c r="D128" s="2"/>
      <c r="E128" s="2"/>
      <c r="F128" s="2"/>
      <c r="G128" s="2"/>
      <c r="H128" s="2"/>
      <c r="I128" s="2"/>
      <c r="J128" s="2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7"/>
      <c r="C129" s="2"/>
      <c r="D129" s="2"/>
      <c r="E129" s="2"/>
      <c r="F129" s="2"/>
      <c r="G129" s="2"/>
      <c r="H129" s="2"/>
      <c r="I129" s="2"/>
      <c r="J129" s="2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7"/>
      <c r="C130" s="2"/>
      <c r="D130" s="2"/>
      <c r="E130" s="2"/>
      <c r="F130" s="2"/>
      <c r="G130" s="2"/>
      <c r="H130" s="2"/>
      <c r="I130" s="2"/>
      <c r="J130" s="28"/>
      <c r="K130" s="2"/>
      <c r="L130" s="2"/>
      <c r="M130" s="2"/>
      <c r="N130" s="2"/>
      <c r="O130" s="4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7"/>
      <c r="C131" s="2"/>
      <c r="D131" s="2"/>
      <c r="E131" s="2"/>
      <c r="F131" s="2"/>
      <c r="G131" s="2"/>
      <c r="H131" s="2"/>
      <c r="I131" s="2"/>
      <c r="J131" s="28"/>
      <c r="K131" s="2"/>
      <c r="L131" s="2"/>
      <c r="M131" s="2"/>
      <c r="N131" s="2"/>
      <c r="O131" s="4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7"/>
      <c r="C132" s="2"/>
      <c r="D132" s="2"/>
      <c r="E132" s="2"/>
      <c r="F132" s="2"/>
      <c r="G132" s="2"/>
      <c r="H132" s="2"/>
      <c r="I132" s="2"/>
      <c r="J132" s="2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7"/>
      <c r="C133" s="2"/>
      <c r="D133" s="2"/>
      <c r="E133" s="2"/>
      <c r="F133" s="2"/>
      <c r="G133" s="2"/>
      <c r="H133" s="2"/>
      <c r="I133" s="2"/>
      <c r="J133" s="2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7"/>
      <c r="C134" s="2"/>
      <c r="D134" s="2"/>
      <c r="E134" s="2"/>
      <c r="F134" s="2"/>
      <c r="G134" s="2"/>
      <c r="H134" s="2"/>
      <c r="I134" s="2"/>
      <c r="J134" s="2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7"/>
      <c r="C135" s="2"/>
      <c r="D135" s="2"/>
      <c r="E135" s="2"/>
      <c r="F135" s="2"/>
      <c r="G135" s="2"/>
      <c r="H135" s="2"/>
      <c r="I135" s="2"/>
      <c r="J135" s="2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7"/>
      <c r="C136" s="2"/>
      <c r="D136" s="2"/>
      <c r="E136" s="2"/>
      <c r="F136" s="2"/>
      <c r="G136" s="2"/>
      <c r="H136" s="2"/>
      <c r="I136" s="2"/>
      <c r="J136" s="2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7"/>
      <c r="C137" s="2"/>
      <c r="D137" s="2"/>
      <c r="E137" s="2"/>
      <c r="F137" s="2"/>
      <c r="G137" s="2"/>
      <c r="H137" s="2"/>
      <c r="I137" s="2"/>
      <c r="J137" s="2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7"/>
      <c r="C138" s="2"/>
      <c r="D138" s="2"/>
      <c r="E138" s="2"/>
      <c r="F138" s="2"/>
      <c r="G138" s="2"/>
      <c r="H138" s="2"/>
      <c r="I138" s="2"/>
      <c r="J138" s="2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7"/>
      <c r="C139" s="2"/>
      <c r="D139" s="2"/>
      <c r="E139" s="2"/>
      <c r="F139" s="2"/>
      <c r="G139" s="2"/>
      <c r="H139" s="2"/>
      <c r="I139" s="2"/>
      <c r="J139" s="2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7"/>
      <c r="C140" s="2"/>
      <c r="D140" s="2"/>
      <c r="E140" s="2"/>
      <c r="F140" s="2"/>
      <c r="G140" s="2"/>
      <c r="H140" s="2"/>
      <c r="I140" s="2"/>
      <c r="J140" s="2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7"/>
      <c r="C141" s="2"/>
      <c r="D141" s="2"/>
      <c r="E141" s="2"/>
      <c r="F141" s="2"/>
      <c r="G141" s="2"/>
      <c r="H141" s="2"/>
      <c r="I141" s="2"/>
      <c r="J141" s="2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7"/>
      <c r="C142" s="2"/>
      <c r="D142" s="2"/>
      <c r="E142" s="2"/>
      <c r="F142" s="2"/>
      <c r="G142" s="2"/>
      <c r="H142" s="2"/>
      <c r="I142" s="2"/>
      <c r="J142" s="2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9"/>
      <c r="C143" s="30"/>
      <c r="D143" s="30"/>
      <c r="E143" s="30"/>
      <c r="F143" s="30"/>
      <c r="G143" s="30"/>
      <c r="H143" s="30"/>
      <c r="I143" s="30"/>
      <c r="J143" s="3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hidden="1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hidden="1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hidden="1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hidden="1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hidden="1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hidden="1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hidden="1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hidden="1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hidden="1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hidden="1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hidden="1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hidden="1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hidden="1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hidden="1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hidden="1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hidden="1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hidden="1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hidden="1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hidden="1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hidden="1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hidden="1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hidden="1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hidden="1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hidden="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hidden="1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hidden="1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hidden="1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  <mergeCell ref="B120:J120"/>
  </mergeCells>
  <pageMargins left="0.7" right="0.7" top="0.75" bottom="0.75" header="0.51180555555555496" footer="0.51180555555555496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AB8C-3A1D-4E18-A1C2-37983B91B66D}">
  <sheetPr>
    <tabColor theme="9"/>
  </sheetPr>
  <dimension ref="A1:G112"/>
  <sheetViews>
    <sheetView topLeftCell="A2" workbookViewId="0">
      <selection activeCell="C30" sqref="C30"/>
    </sheetView>
  </sheetViews>
  <sheetFormatPr defaultRowHeight="15" x14ac:dyDescent="0.25"/>
  <cols>
    <col min="1" max="1" width="13.140625" bestFit="1" customWidth="1"/>
    <col min="2" max="2" width="18.5703125" bestFit="1" customWidth="1"/>
    <col min="3" max="5" width="16.140625" bestFit="1" customWidth="1"/>
    <col min="6" max="7" width="21.140625" bestFit="1" customWidth="1"/>
    <col min="8" max="384" width="4.5703125" bestFit="1" customWidth="1"/>
    <col min="385" max="411" width="5.5703125" bestFit="1" customWidth="1"/>
    <col min="412" max="412" width="11.28515625" bestFit="1" customWidth="1"/>
  </cols>
  <sheetData>
    <row r="1" spans="1:7" hidden="1" x14ac:dyDescent="0.25">
      <c r="A1" s="32"/>
      <c r="B1" s="40" t="s">
        <v>30</v>
      </c>
      <c r="C1" s="32"/>
      <c r="D1" s="32"/>
      <c r="E1" s="32"/>
      <c r="F1" s="32"/>
      <c r="G1" s="32"/>
    </row>
    <row r="2" spans="1:7" x14ac:dyDescent="0.25">
      <c r="A2" s="62"/>
      <c r="B2" s="95" t="s">
        <v>8</v>
      </c>
      <c r="C2" s="96"/>
      <c r="D2" s="93" t="s">
        <v>9</v>
      </c>
      <c r="E2" s="94"/>
      <c r="F2" s="91" t="s">
        <v>31</v>
      </c>
      <c r="G2" s="91" t="s">
        <v>32</v>
      </c>
    </row>
    <row r="3" spans="1:7" x14ac:dyDescent="0.25">
      <c r="A3" s="63" t="s">
        <v>26</v>
      </c>
      <c r="B3" s="60" t="s">
        <v>27</v>
      </c>
      <c r="C3" s="48" t="s">
        <v>28</v>
      </c>
      <c r="D3" s="46" t="s">
        <v>27</v>
      </c>
      <c r="E3" s="46" t="s">
        <v>28</v>
      </c>
      <c r="F3" s="92"/>
      <c r="G3" s="92"/>
    </row>
    <row r="4" spans="1:7" x14ac:dyDescent="0.25">
      <c r="A4" s="61">
        <v>24</v>
      </c>
      <c r="B4" s="51">
        <v>10</v>
      </c>
      <c r="C4" s="52">
        <v>631.71</v>
      </c>
      <c r="D4" s="53">
        <v>14</v>
      </c>
      <c r="E4" s="54">
        <v>878.62000000000012</v>
      </c>
      <c r="F4" s="55">
        <v>24</v>
      </c>
      <c r="G4" s="56">
        <v>1510.3300000000002</v>
      </c>
    </row>
    <row r="5" spans="1:7" x14ac:dyDescent="0.25">
      <c r="A5" s="50">
        <v>25</v>
      </c>
      <c r="B5" s="51">
        <v>5</v>
      </c>
      <c r="C5" s="52">
        <v>368.74</v>
      </c>
      <c r="D5" s="53">
        <v>18</v>
      </c>
      <c r="E5" s="54">
        <v>1028.4100000000001</v>
      </c>
      <c r="F5" s="55">
        <v>23</v>
      </c>
      <c r="G5" s="56">
        <v>1397.1499999999999</v>
      </c>
    </row>
    <row r="6" spans="1:7" x14ac:dyDescent="0.25">
      <c r="A6" s="50">
        <v>26</v>
      </c>
      <c r="B6" s="51">
        <v>10</v>
      </c>
      <c r="C6" s="52">
        <v>619.50999999999988</v>
      </c>
      <c r="D6" s="53">
        <v>11</v>
      </c>
      <c r="E6" s="54">
        <v>719.24000000000012</v>
      </c>
      <c r="F6" s="55">
        <v>21</v>
      </c>
      <c r="G6" s="56">
        <v>1338.7499999999998</v>
      </c>
    </row>
    <row r="7" spans="1:7" x14ac:dyDescent="0.25">
      <c r="A7" s="50">
        <v>36</v>
      </c>
      <c r="B7" s="51">
        <v>8</v>
      </c>
      <c r="C7" s="52">
        <v>505.64</v>
      </c>
      <c r="D7" s="53">
        <v>11</v>
      </c>
      <c r="E7" s="54">
        <v>729.20999999999992</v>
      </c>
      <c r="F7" s="55">
        <v>19</v>
      </c>
      <c r="G7" s="56">
        <v>1234.8499999999997</v>
      </c>
    </row>
    <row r="8" spans="1:7" x14ac:dyDescent="0.25">
      <c r="A8" s="50">
        <v>20</v>
      </c>
      <c r="B8" s="51">
        <v>6</v>
      </c>
      <c r="C8" s="52">
        <v>368.8</v>
      </c>
      <c r="D8" s="53">
        <v>12</v>
      </c>
      <c r="E8" s="54">
        <v>779.14999999999986</v>
      </c>
      <c r="F8" s="55">
        <v>18</v>
      </c>
      <c r="G8" s="56">
        <v>1147.95</v>
      </c>
    </row>
    <row r="9" spans="1:7" x14ac:dyDescent="0.25">
      <c r="A9" s="50">
        <v>35</v>
      </c>
      <c r="B9" s="51">
        <v>7</v>
      </c>
      <c r="C9" s="52">
        <v>482.34</v>
      </c>
      <c r="D9" s="53">
        <v>9</v>
      </c>
      <c r="E9" s="54">
        <v>639.66</v>
      </c>
      <c r="F9" s="55">
        <v>16</v>
      </c>
      <c r="G9" s="56">
        <v>1121.9999999999998</v>
      </c>
    </row>
    <row r="10" spans="1:7" x14ac:dyDescent="0.25">
      <c r="A10" s="50">
        <v>31</v>
      </c>
      <c r="B10" s="51">
        <v>11</v>
      </c>
      <c r="C10" s="52">
        <v>589.95999999999992</v>
      </c>
      <c r="D10" s="53">
        <v>8</v>
      </c>
      <c r="E10" s="54">
        <v>525.25</v>
      </c>
      <c r="F10" s="55">
        <v>19</v>
      </c>
      <c r="G10" s="56">
        <v>1115.21</v>
      </c>
    </row>
    <row r="11" spans="1:7" x14ac:dyDescent="0.25">
      <c r="A11" s="50">
        <v>38</v>
      </c>
      <c r="B11" s="51">
        <v>10</v>
      </c>
      <c r="C11" s="52">
        <v>568.76</v>
      </c>
      <c r="D11" s="53">
        <v>9</v>
      </c>
      <c r="E11" s="54">
        <v>526.25</v>
      </c>
      <c r="F11" s="55">
        <v>19</v>
      </c>
      <c r="G11" s="56">
        <v>1095.01</v>
      </c>
    </row>
    <row r="12" spans="1:7" x14ac:dyDescent="0.25">
      <c r="A12" s="50">
        <v>15</v>
      </c>
      <c r="B12" s="51">
        <v>3</v>
      </c>
      <c r="C12" s="52">
        <v>190.66</v>
      </c>
      <c r="D12" s="53">
        <v>13</v>
      </c>
      <c r="E12" s="54">
        <v>872.33999999999992</v>
      </c>
      <c r="F12" s="55">
        <v>16</v>
      </c>
      <c r="G12" s="56">
        <v>1063</v>
      </c>
    </row>
    <row r="13" spans="1:7" x14ac:dyDescent="0.25">
      <c r="A13" s="50">
        <v>22</v>
      </c>
      <c r="B13" s="51">
        <v>5</v>
      </c>
      <c r="C13" s="52">
        <v>291.37</v>
      </c>
      <c r="D13" s="53">
        <v>10</v>
      </c>
      <c r="E13" s="54">
        <v>743.33</v>
      </c>
      <c r="F13" s="55">
        <v>15</v>
      </c>
      <c r="G13" s="56">
        <v>1034.7</v>
      </c>
    </row>
    <row r="14" spans="1:7" x14ac:dyDescent="0.25">
      <c r="A14" s="50">
        <v>28</v>
      </c>
      <c r="B14" s="51">
        <v>9</v>
      </c>
      <c r="C14" s="52">
        <v>544.32000000000005</v>
      </c>
      <c r="D14" s="53">
        <v>8</v>
      </c>
      <c r="E14" s="54">
        <v>481.02</v>
      </c>
      <c r="F14" s="55">
        <v>17</v>
      </c>
      <c r="G14" s="56">
        <v>1025.3400000000001</v>
      </c>
    </row>
    <row r="15" spans="1:7" x14ac:dyDescent="0.25">
      <c r="A15" s="50">
        <v>18</v>
      </c>
      <c r="B15" s="51">
        <v>8</v>
      </c>
      <c r="C15" s="52">
        <v>531.19000000000005</v>
      </c>
      <c r="D15" s="53">
        <v>7</v>
      </c>
      <c r="E15" s="54">
        <v>483.06</v>
      </c>
      <c r="F15" s="55">
        <v>15</v>
      </c>
      <c r="G15" s="56">
        <v>1014.25</v>
      </c>
    </row>
    <row r="16" spans="1:7" x14ac:dyDescent="0.25">
      <c r="A16" s="50">
        <v>30</v>
      </c>
      <c r="B16" s="51">
        <v>8</v>
      </c>
      <c r="C16" s="52">
        <v>481.38999999999993</v>
      </c>
      <c r="D16" s="53">
        <v>10</v>
      </c>
      <c r="E16" s="54">
        <v>519.32999999999993</v>
      </c>
      <c r="F16" s="55">
        <v>18</v>
      </c>
      <c r="G16" s="56">
        <v>1000.72</v>
      </c>
    </row>
    <row r="17" spans="1:7" x14ac:dyDescent="0.25">
      <c r="A17" s="50">
        <v>16</v>
      </c>
      <c r="B17" s="51">
        <v>6</v>
      </c>
      <c r="C17" s="52">
        <v>378.16</v>
      </c>
      <c r="D17" s="53">
        <v>8</v>
      </c>
      <c r="E17" s="54">
        <v>588.88</v>
      </c>
      <c r="F17" s="55">
        <v>14</v>
      </c>
      <c r="G17" s="56">
        <v>967.04</v>
      </c>
    </row>
    <row r="18" spans="1:7" x14ac:dyDescent="0.25">
      <c r="A18" s="50">
        <v>27</v>
      </c>
      <c r="B18" s="51">
        <v>7</v>
      </c>
      <c r="C18" s="52">
        <v>364.6</v>
      </c>
      <c r="D18" s="53">
        <v>10</v>
      </c>
      <c r="E18" s="54">
        <v>570.93000000000006</v>
      </c>
      <c r="F18" s="55">
        <v>17</v>
      </c>
      <c r="G18" s="56">
        <v>935.5300000000002</v>
      </c>
    </row>
    <row r="19" spans="1:7" x14ac:dyDescent="0.25">
      <c r="A19" s="50">
        <v>17</v>
      </c>
      <c r="B19" s="51">
        <v>3</v>
      </c>
      <c r="C19" s="52">
        <v>125.60999999999999</v>
      </c>
      <c r="D19" s="53">
        <v>13</v>
      </c>
      <c r="E19" s="54">
        <v>783.24999999999989</v>
      </c>
      <c r="F19" s="55">
        <v>16</v>
      </c>
      <c r="G19" s="56">
        <v>908.8599999999999</v>
      </c>
    </row>
    <row r="20" spans="1:7" x14ac:dyDescent="0.25">
      <c r="A20" s="50">
        <v>14</v>
      </c>
      <c r="B20" s="51">
        <v>4</v>
      </c>
      <c r="C20" s="52">
        <v>273.78000000000003</v>
      </c>
      <c r="D20" s="53">
        <v>10</v>
      </c>
      <c r="E20" s="54">
        <v>612.15000000000009</v>
      </c>
      <c r="F20" s="55">
        <v>14</v>
      </c>
      <c r="G20" s="56">
        <v>885.93000000000018</v>
      </c>
    </row>
    <row r="21" spans="1:7" x14ac:dyDescent="0.25">
      <c r="A21" s="50">
        <v>9</v>
      </c>
      <c r="B21" s="51">
        <v>5</v>
      </c>
      <c r="C21" s="52">
        <v>273.39</v>
      </c>
      <c r="D21" s="53">
        <v>11</v>
      </c>
      <c r="E21" s="54">
        <v>608.84</v>
      </c>
      <c r="F21" s="55">
        <v>16</v>
      </c>
      <c r="G21" s="56">
        <v>882.2299999999999</v>
      </c>
    </row>
    <row r="22" spans="1:7" x14ac:dyDescent="0.25">
      <c r="A22" s="50">
        <v>2</v>
      </c>
      <c r="B22" s="51">
        <v>2</v>
      </c>
      <c r="C22" s="52">
        <v>142.66</v>
      </c>
      <c r="D22" s="53">
        <v>10</v>
      </c>
      <c r="E22" s="54">
        <v>728.96999999999991</v>
      </c>
      <c r="F22" s="55">
        <v>12</v>
      </c>
      <c r="G22" s="56">
        <v>871.63</v>
      </c>
    </row>
    <row r="23" spans="1:7" x14ac:dyDescent="0.25">
      <c r="A23" s="50">
        <v>7</v>
      </c>
      <c r="B23" s="51">
        <v>8</v>
      </c>
      <c r="C23" s="52">
        <v>536.26999999999987</v>
      </c>
      <c r="D23" s="53">
        <v>8</v>
      </c>
      <c r="E23" s="54">
        <v>320.98999999999995</v>
      </c>
      <c r="F23" s="55">
        <v>16</v>
      </c>
      <c r="G23" s="56">
        <v>857.25999999999976</v>
      </c>
    </row>
    <row r="24" spans="1:7" x14ac:dyDescent="0.25">
      <c r="A24" s="50">
        <v>23</v>
      </c>
      <c r="B24" s="51">
        <v>8</v>
      </c>
      <c r="C24" s="52">
        <v>418.84</v>
      </c>
      <c r="D24" s="53">
        <v>7</v>
      </c>
      <c r="E24" s="54">
        <v>415.29999999999995</v>
      </c>
      <c r="F24" s="55">
        <v>15</v>
      </c>
      <c r="G24" s="56">
        <v>834.14</v>
      </c>
    </row>
    <row r="25" spans="1:7" x14ac:dyDescent="0.25">
      <c r="A25" s="50">
        <v>29</v>
      </c>
      <c r="B25" s="51">
        <v>5</v>
      </c>
      <c r="C25" s="52">
        <v>256.71999999999997</v>
      </c>
      <c r="D25" s="53">
        <v>11</v>
      </c>
      <c r="E25" s="54">
        <v>541.62000000000012</v>
      </c>
      <c r="F25" s="55">
        <v>16</v>
      </c>
      <c r="G25" s="56">
        <v>798.3399999999998</v>
      </c>
    </row>
    <row r="26" spans="1:7" x14ac:dyDescent="0.25">
      <c r="A26" s="50">
        <v>41</v>
      </c>
      <c r="B26" s="51">
        <v>4</v>
      </c>
      <c r="C26" s="52">
        <v>237.22999999999996</v>
      </c>
      <c r="D26" s="53">
        <v>7</v>
      </c>
      <c r="E26" s="54">
        <v>547.75</v>
      </c>
      <c r="F26" s="55">
        <v>11</v>
      </c>
      <c r="G26" s="56">
        <v>784.98</v>
      </c>
    </row>
    <row r="27" spans="1:7" x14ac:dyDescent="0.25">
      <c r="A27" s="50">
        <v>34</v>
      </c>
      <c r="B27" s="51">
        <v>8</v>
      </c>
      <c r="C27" s="52">
        <v>463.87</v>
      </c>
      <c r="D27" s="53">
        <v>6</v>
      </c>
      <c r="E27" s="54">
        <v>299.14999999999998</v>
      </c>
      <c r="F27" s="55">
        <v>14</v>
      </c>
      <c r="G27" s="56">
        <v>763.02</v>
      </c>
    </row>
    <row r="28" spans="1:7" x14ac:dyDescent="0.25">
      <c r="A28" s="50">
        <v>10</v>
      </c>
      <c r="B28" s="51">
        <v>5</v>
      </c>
      <c r="C28" s="52">
        <v>223.78</v>
      </c>
      <c r="D28" s="53">
        <v>10</v>
      </c>
      <c r="E28" s="54">
        <v>523.89</v>
      </c>
      <c r="F28" s="55">
        <v>15</v>
      </c>
      <c r="G28" s="56">
        <v>747.67000000000007</v>
      </c>
    </row>
    <row r="29" spans="1:7" x14ac:dyDescent="0.25">
      <c r="A29" s="50">
        <v>5</v>
      </c>
      <c r="B29" s="51">
        <v>3</v>
      </c>
      <c r="C29" s="52">
        <v>163.14000000000001</v>
      </c>
      <c r="D29" s="53">
        <v>10</v>
      </c>
      <c r="E29" s="54">
        <v>580.51999999999987</v>
      </c>
      <c r="F29" s="55">
        <v>13</v>
      </c>
      <c r="G29" s="56">
        <v>743.66</v>
      </c>
    </row>
    <row r="30" spans="1:7" x14ac:dyDescent="0.25">
      <c r="A30" s="50">
        <v>32</v>
      </c>
      <c r="B30" s="51"/>
      <c r="C30" s="52"/>
      <c r="D30" s="53">
        <v>11</v>
      </c>
      <c r="E30" s="54">
        <v>742.90999999999985</v>
      </c>
      <c r="F30" s="55">
        <v>11</v>
      </c>
      <c r="G30" s="56">
        <v>742.90999999999985</v>
      </c>
    </row>
    <row r="31" spans="1:7" x14ac:dyDescent="0.25">
      <c r="A31" s="50">
        <v>19</v>
      </c>
      <c r="B31" s="51">
        <v>3</v>
      </c>
      <c r="C31" s="52">
        <v>169.84</v>
      </c>
      <c r="D31" s="53">
        <v>11</v>
      </c>
      <c r="E31" s="54">
        <v>531.19000000000005</v>
      </c>
      <c r="F31" s="55">
        <v>14</v>
      </c>
      <c r="G31" s="56">
        <v>701.03</v>
      </c>
    </row>
    <row r="32" spans="1:7" x14ac:dyDescent="0.25">
      <c r="A32" s="50">
        <v>3</v>
      </c>
      <c r="B32" s="51">
        <v>5</v>
      </c>
      <c r="C32" s="52">
        <v>360.62</v>
      </c>
      <c r="D32" s="53">
        <v>4</v>
      </c>
      <c r="E32" s="54">
        <v>275.13</v>
      </c>
      <c r="F32" s="55">
        <v>9</v>
      </c>
      <c r="G32" s="56">
        <v>635.75000000000011</v>
      </c>
    </row>
    <row r="33" spans="1:7" x14ac:dyDescent="0.25">
      <c r="A33" s="50">
        <v>42</v>
      </c>
      <c r="B33" s="51">
        <v>3</v>
      </c>
      <c r="C33" s="52">
        <v>211.31</v>
      </c>
      <c r="D33" s="53">
        <v>7</v>
      </c>
      <c r="E33" s="54">
        <v>411.21000000000004</v>
      </c>
      <c r="F33" s="55">
        <v>10</v>
      </c>
      <c r="G33" s="56">
        <v>622.52</v>
      </c>
    </row>
    <row r="34" spans="1:7" x14ac:dyDescent="0.25">
      <c r="A34" s="50">
        <v>13</v>
      </c>
      <c r="B34" s="51">
        <v>4</v>
      </c>
      <c r="C34" s="52">
        <v>284.57</v>
      </c>
      <c r="D34" s="53">
        <v>7</v>
      </c>
      <c r="E34" s="54">
        <v>311.83</v>
      </c>
      <c r="F34" s="55">
        <v>11</v>
      </c>
      <c r="G34" s="56">
        <v>596.4</v>
      </c>
    </row>
    <row r="35" spans="1:7" x14ac:dyDescent="0.25">
      <c r="A35" s="50">
        <v>6</v>
      </c>
      <c r="B35" s="51">
        <v>6</v>
      </c>
      <c r="C35" s="52">
        <v>338.63000000000005</v>
      </c>
      <c r="D35" s="53">
        <v>4</v>
      </c>
      <c r="E35" s="54">
        <v>248.14</v>
      </c>
      <c r="F35" s="55">
        <v>10</v>
      </c>
      <c r="G35" s="56">
        <v>586.77</v>
      </c>
    </row>
    <row r="36" spans="1:7" x14ac:dyDescent="0.25">
      <c r="A36" s="50">
        <v>21</v>
      </c>
      <c r="B36" s="51"/>
      <c r="C36" s="52"/>
      <c r="D36" s="53">
        <v>10</v>
      </c>
      <c r="E36" s="54">
        <v>573.63</v>
      </c>
      <c r="F36" s="55">
        <v>10</v>
      </c>
      <c r="G36" s="56">
        <v>573.63</v>
      </c>
    </row>
    <row r="37" spans="1:7" x14ac:dyDescent="0.25">
      <c r="A37" s="50">
        <v>33</v>
      </c>
      <c r="B37" s="51">
        <v>4</v>
      </c>
      <c r="C37" s="52">
        <v>246.23</v>
      </c>
      <c r="D37" s="53">
        <v>4</v>
      </c>
      <c r="E37" s="54">
        <v>304.17</v>
      </c>
      <c r="F37" s="55">
        <v>8</v>
      </c>
      <c r="G37" s="56">
        <v>550.4</v>
      </c>
    </row>
    <row r="38" spans="1:7" x14ac:dyDescent="0.25">
      <c r="A38" s="50">
        <v>39</v>
      </c>
      <c r="B38" s="51">
        <v>4</v>
      </c>
      <c r="C38" s="52">
        <v>231.14</v>
      </c>
      <c r="D38" s="53">
        <v>5</v>
      </c>
      <c r="E38" s="54">
        <v>311.79000000000002</v>
      </c>
      <c r="F38" s="55">
        <v>9</v>
      </c>
      <c r="G38" s="56">
        <v>542.92999999999995</v>
      </c>
    </row>
    <row r="39" spans="1:7" x14ac:dyDescent="0.25">
      <c r="A39" s="50">
        <v>46</v>
      </c>
      <c r="B39" s="51">
        <v>2</v>
      </c>
      <c r="C39" s="52">
        <v>142.07999999999998</v>
      </c>
      <c r="D39" s="53">
        <v>5</v>
      </c>
      <c r="E39" s="54">
        <v>386.59999999999997</v>
      </c>
      <c r="F39" s="55">
        <v>7</v>
      </c>
      <c r="G39" s="56">
        <v>528.67999999999995</v>
      </c>
    </row>
    <row r="40" spans="1:7" x14ac:dyDescent="0.25">
      <c r="A40" s="50">
        <v>40</v>
      </c>
      <c r="B40" s="51">
        <v>2</v>
      </c>
      <c r="C40" s="52">
        <v>88.13</v>
      </c>
      <c r="D40" s="53">
        <v>6</v>
      </c>
      <c r="E40" s="54">
        <v>433.92</v>
      </c>
      <c r="F40" s="55">
        <v>8</v>
      </c>
      <c r="G40" s="56">
        <v>522.04999999999995</v>
      </c>
    </row>
    <row r="41" spans="1:7" x14ac:dyDescent="0.25">
      <c r="A41" s="50">
        <v>51</v>
      </c>
      <c r="B41" s="51">
        <v>2</v>
      </c>
      <c r="C41" s="52">
        <v>119.58000000000001</v>
      </c>
      <c r="D41" s="53">
        <v>6</v>
      </c>
      <c r="E41" s="54">
        <v>392.12</v>
      </c>
      <c r="F41" s="55">
        <v>8</v>
      </c>
      <c r="G41" s="56">
        <v>511.7</v>
      </c>
    </row>
    <row r="42" spans="1:7" x14ac:dyDescent="0.25">
      <c r="A42" s="50">
        <v>8</v>
      </c>
      <c r="B42" s="51">
        <v>2</v>
      </c>
      <c r="C42" s="52">
        <v>136.15</v>
      </c>
      <c r="D42" s="53">
        <v>7</v>
      </c>
      <c r="E42" s="54">
        <v>373.76000000000005</v>
      </c>
      <c r="F42" s="55">
        <v>9</v>
      </c>
      <c r="G42" s="56">
        <v>509.91</v>
      </c>
    </row>
    <row r="43" spans="1:7" x14ac:dyDescent="0.25">
      <c r="A43" s="50">
        <v>48</v>
      </c>
      <c r="B43" s="51">
        <v>2</v>
      </c>
      <c r="C43" s="52">
        <v>142.58999999999997</v>
      </c>
      <c r="D43" s="53">
        <v>7</v>
      </c>
      <c r="E43" s="54">
        <v>352.4</v>
      </c>
      <c r="F43" s="55">
        <v>9</v>
      </c>
      <c r="G43" s="56">
        <v>494.98999999999995</v>
      </c>
    </row>
    <row r="44" spans="1:7" x14ac:dyDescent="0.25">
      <c r="A44" s="50">
        <v>43</v>
      </c>
      <c r="B44" s="51">
        <v>5</v>
      </c>
      <c r="C44" s="52">
        <v>259.49</v>
      </c>
      <c r="D44" s="53">
        <v>5</v>
      </c>
      <c r="E44" s="54">
        <v>229.98</v>
      </c>
      <c r="F44" s="55">
        <v>10</v>
      </c>
      <c r="G44" s="56">
        <v>489.47</v>
      </c>
    </row>
    <row r="45" spans="1:7" x14ac:dyDescent="0.25">
      <c r="A45" s="50">
        <v>44</v>
      </c>
      <c r="B45" s="51">
        <v>2</v>
      </c>
      <c r="C45" s="52">
        <v>173.57</v>
      </c>
      <c r="D45" s="53">
        <v>4</v>
      </c>
      <c r="E45" s="54">
        <v>293.58000000000004</v>
      </c>
      <c r="F45" s="55">
        <v>6</v>
      </c>
      <c r="G45" s="56">
        <v>467.15000000000003</v>
      </c>
    </row>
    <row r="46" spans="1:7" x14ac:dyDescent="0.25">
      <c r="A46" s="50">
        <v>37</v>
      </c>
      <c r="B46" s="51">
        <v>2</v>
      </c>
      <c r="C46" s="52">
        <v>112.71000000000001</v>
      </c>
      <c r="D46" s="53">
        <v>6</v>
      </c>
      <c r="E46" s="54">
        <v>338.86</v>
      </c>
      <c r="F46" s="55">
        <v>8</v>
      </c>
      <c r="G46" s="56">
        <v>451.57000000000005</v>
      </c>
    </row>
    <row r="47" spans="1:7" x14ac:dyDescent="0.25">
      <c r="A47" s="50">
        <v>12</v>
      </c>
      <c r="B47" s="51">
        <v>3</v>
      </c>
      <c r="C47" s="52">
        <v>182.85000000000002</v>
      </c>
      <c r="D47" s="53">
        <v>5</v>
      </c>
      <c r="E47" s="54">
        <v>260.83</v>
      </c>
      <c r="F47" s="55">
        <v>8</v>
      </c>
      <c r="G47" s="56">
        <v>443.68</v>
      </c>
    </row>
    <row r="48" spans="1:7" x14ac:dyDescent="0.25">
      <c r="A48" s="50">
        <v>1</v>
      </c>
      <c r="B48" s="51">
        <v>4</v>
      </c>
      <c r="C48" s="52">
        <v>201.40999999999997</v>
      </c>
      <c r="D48" s="53">
        <v>5</v>
      </c>
      <c r="E48" s="54">
        <v>233.41</v>
      </c>
      <c r="F48" s="55">
        <v>9</v>
      </c>
      <c r="G48" s="56">
        <v>434.82</v>
      </c>
    </row>
    <row r="49" spans="1:7" x14ac:dyDescent="0.25">
      <c r="A49" s="50">
        <v>4</v>
      </c>
      <c r="B49" s="51">
        <v>2</v>
      </c>
      <c r="C49" s="52">
        <v>138.84</v>
      </c>
      <c r="D49" s="53">
        <v>4</v>
      </c>
      <c r="E49" s="54">
        <v>272.82</v>
      </c>
      <c r="F49" s="55">
        <v>6</v>
      </c>
      <c r="G49" s="56">
        <v>411.65999999999997</v>
      </c>
    </row>
    <row r="50" spans="1:7" x14ac:dyDescent="0.25">
      <c r="A50" s="50">
        <v>47</v>
      </c>
      <c r="B50" s="51">
        <v>5</v>
      </c>
      <c r="C50" s="52">
        <v>284.71999999999997</v>
      </c>
      <c r="D50" s="53">
        <v>2</v>
      </c>
      <c r="E50" s="54">
        <v>95</v>
      </c>
      <c r="F50" s="55">
        <v>7</v>
      </c>
      <c r="G50" s="56">
        <v>379.71999999999997</v>
      </c>
    </row>
    <row r="51" spans="1:7" x14ac:dyDescent="0.25">
      <c r="A51" s="50">
        <v>49</v>
      </c>
      <c r="B51" s="51">
        <v>1</v>
      </c>
      <c r="C51" s="52">
        <v>59.39</v>
      </c>
      <c r="D51" s="53">
        <v>4</v>
      </c>
      <c r="E51" s="54">
        <v>207.24</v>
      </c>
      <c r="F51" s="55">
        <v>5</v>
      </c>
      <c r="G51" s="56">
        <v>266.63</v>
      </c>
    </row>
    <row r="52" spans="1:7" x14ac:dyDescent="0.25">
      <c r="A52" s="50">
        <v>50</v>
      </c>
      <c r="B52" s="51"/>
      <c r="C52" s="52"/>
      <c r="D52" s="53">
        <v>5</v>
      </c>
      <c r="E52" s="54">
        <v>254.44</v>
      </c>
      <c r="F52" s="55">
        <v>5</v>
      </c>
      <c r="G52" s="56">
        <v>254.44</v>
      </c>
    </row>
    <row r="53" spans="1:7" x14ac:dyDescent="0.25">
      <c r="A53" s="50">
        <v>45</v>
      </c>
      <c r="B53" s="51">
        <v>2</v>
      </c>
      <c r="C53" s="52">
        <v>118.16</v>
      </c>
      <c r="D53" s="53">
        <v>2</v>
      </c>
      <c r="E53" s="54">
        <v>132.71</v>
      </c>
      <c r="F53" s="55">
        <v>4</v>
      </c>
      <c r="G53" s="56">
        <v>250.87</v>
      </c>
    </row>
    <row r="54" spans="1:7" x14ac:dyDescent="0.25">
      <c r="A54" s="50">
        <v>11</v>
      </c>
      <c r="B54" s="51">
        <v>3</v>
      </c>
      <c r="C54" s="52">
        <v>150.74</v>
      </c>
      <c r="D54" s="53">
        <v>2</v>
      </c>
      <c r="E54" s="54">
        <v>99.86</v>
      </c>
      <c r="F54" s="55">
        <v>5</v>
      </c>
      <c r="G54" s="56">
        <v>250.6</v>
      </c>
    </row>
    <row r="55" spans="1:7" x14ac:dyDescent="0.25">
      <c r="A55" s="50">
        <v>57</v>
      </c>
      <c r="B55" s="51"/>
      <c r="C55" s="52"/>
      <c r="D55" s="53">
        <v>4</v>
      </c>
      <c r="E55" s="54">
        <v>196.31</v>
      </c>
      <c r="F55" s="55">
        <v>4</v>
      </c>
      <c r="G55" s="56">
        <v>196.31</v>
      </c>
    </row>
    <row r="56" spans="1:7" x14ac:dyDescent="0.25">
      <c r="A56" s="50">
        <v>53</v>
      </c>
      <c r="B56" s="51">
        <v>1</v>
      </c>
      <c r="C56" s="52">
        <v>70.61</v>
      </c>
      <c r="D56" s="53">
        <v>1</v>
      </c>
      <c r="E56" s="54">
        <v>99.96</v>
      </c>
      <c r="F56" s="55">
        <v>2</v>
      </c>
      <c r="G56" s="56">
        <v>170.57</v>
      </c>
    </row>
    <row r="57" spans="1:7" x14ac:dyDescent="0.25">
      <c r="A57" s="50">
        <v>52</v>
      </c>
      <c r="B57" s="51">
        <v>1</v>
      </c>
      <c r="C57" s="52">
        <v>55.46</v>
      </c>
      <c r="D57" s="53">
        <v>3</v>
      </c>
      <c r="E57" s="54">
        <v>112.91999999999999</v>
      </c>
      <c r="F57" s="55">
        <v>4</v>
      </c>
      <c r="G57" s="56">
        <v>168.38</v>
      </c>
    </row>
    <row r="58" spans="1:7" x14ac:dyDescent="0.25">
      <c r="A58" s="50">
        <v>54</v>
      </c>
      <c r="B58" s="51">
        <v>2</v>
      </c>
      <c r="C58" s="52">
        <v>85.91</v>
      </c>
      <c r="D58" s="53">
        <v>1</v>
      </c>
      <c r="E58" s="54">
        <v>67.069999999999993</v>
      </c>
      <c r="F58" s="55">
        <v>3</v>
      </c>
      <c r="G58" s="56">
        <v>152.97999999999999</v>
      </c>
    </row>
    <row r="59" spans="1:7" x14ac:dyDescent="0.25">
      <c r="A59" s="50">
        <v>67</v>
      </c>
      <c r="B59" s="51">
        <v>2</v>
      </c>
      <c r="C59" s="52">
        <v>108.39</v>
      </c>
      <c r="D59" s="53"/>
      <c r="E59" s="54"/>
      <c r="F59" s="55">
        <v>2</v>
      </c>
      <c r="G59" s="56">
        <v>108.39</v>
      </c>
    </row>
    <row r="60" spans="1:7" x14ac:dyDescent="0.25">
      <c r="A60" s="50">
        <v>64</v>
      </c>
      <c r="B60" s="51"/>
      <c r="C60" s="52"/>
      <c r="D60" s="53">
        <v>1</v>
      </c>
      <c r="E60" s="54">
        <v>89.18</v>
      </c>
      <c r="F60" s="55">
        <v>1</v>
      </c>
      <c r="G60" s="56">
        <v>89.18</v>
      </c>
    </row>
    <row r="61" spans="1:7" x14ac:dyDescent="0.25">
      <c r="A61" s="50">
        <v>62</v>
      </c>
      <c r="B61" s="51">
        <v>1</v>
      </c>
      <c r="C61" s="52">
        <v>77.400000000000006</v>
      </c>
      <c r="D61" s="53"/>
      <c r="E61" s="54"/>
      <c r="F61" s="55">
        <v>1</v>
      </c>
      <c r="G61" s="56">
        <v>77.400000000000006</v>
      </c>
    </row>
    <row r="62" spans="1:7" x14ac:dyDescent="0.25">
      <c r="A62" s="50">
        <v>55</v>
      </c>
      <c r="B62" s="51"/>
      <c r="C62" s="52"/>
      <c r="D62" s="53">
        <v>1</v>
      </c>
      <c r="E62" s="54">
        <v>72.78</v>
      </c>
      <c r="F62" s="55">
        <v>1</v>
      </c>
      <c r="G62" s="56">
        <v>72.78</v>
      </c>
    </row>
    <row r="63" spans="1:7" x14ac:dyDescent="0.25">
      <c r="A63" s="50">
        <v>56</v>
      </c>
      <c r="B63" s="51"/>
      <c r="C63" s="52"/>
      <c r="D63" s="53">
        <v>1</v>
      </c>
      <c r="E63" s="54">
        <v>67.02</v>
      </c>
      <c r="F63" s="55">
        <v>1</v>
      </c>
      <c r="G63" s="56">
        <v>67.02</v>
      </c>
    </row>
    <row r="64" spans="1:7" x14ac:dyDescent="0.25">
      <c r="A64" s="50">
        <v>74</v>
      </c>
      <c r="B64" s="51"/>
      <c r="C64" s="52"/>
      <c r="D64" s="53">
        <v>1</v>
      </c>
      <c r="E64" s="54">
        <v>55.63</v>
      </c>
      <c r="F64" s="55">
        <v>1</v>
      </c>
      <c r="G64" s="56">
        <v>55.63</v>
      </c>
    </row>
    <row r="65" spans="1:7" x14ac:dyDescent="0.25">
      <c r="A65" s="50">
        <v>58</v>
      </c>
      <c r="B65" s="51">
        <v>1</v>
      </c>
      <c r="C65" s="52">
        <v>53.2</v>
      </c>
      <c r="D65" s="53"/>
      <c r="E65" s="54"/>
      <c r="F65" s="55">
        <v>1</v>
      </c>
      <c r="G65" s="56">
        <v>53.2</v>
      </c>
    </row>
    <row r="66" spans="1:7" x14ac:dyDescent="0.25">
      <c r="A66" s="50">
        <v>60</v>
      </c>
      <c r="B66" s="51">
        <v>1</v>
      </c>
      <c r="C66" s="52">
        <v>46.24</v>
      </c>
      <c r="D66" s="53"/>
      <c r="E66" s="54"/>
      <c r="F66" s="55">
        <v>1</v>
      </c>
      <c r="G66" s="56">
        <v>46.24</v>
      </c>
    </row>
    <row r="67" spans="1:7" x14ac:dyDescent="0.25">
      <c r="A67" s="50">
        <v>59</v>
      </c>
      <c r="B67" s="51">
        <v>1</v>
      </c>
      <c r="C67" s="52">
        <v>42.33</v>
      </c>
      <c r="D67" s="53"/>
      <c r="E67" s="54"/>
      <c r="F67" s="55">
        <v>1</v>
      </c>
      <c r="G67" s="56">
        <v>42.33</v>
      </c>
    </row>
    <row r="68" spans="1:7" x14ac:dyDescent="0.25">
      <c r="A68" s="50">
        <v>63</v>
      </c>
      <c r="B68" s="51">
        <v>1</v>
      </c>
      <c r="C68" s="52">
        <v>39.17</v>
      </c>
      <c r="D68" s="53"/>
      <c r="E68" s="54"/>
      <c r="F68" s="55">
        <v>1</v>
      </c>
      <c r="G68" s="56">
        <v>39.17</v>
      </c>
    </row>
    <row r="69" spans="1:7" x14ac:dyDescent="0.25">
      <c r="A69" s="50">
        <v>68</v>
      </c>
      <c r="B69" s="51"/>
      <c r="C69" s="52"/>
      <c r="D69" s="53">
        <v>1</v>
      </c>
      <c r="E69" s="54">
        <v>23.31</v>
      </c>
      <c r="F69" s="55">
        <v>1</v>
      </c>
      <c r="G69" s="56">
        <v>23.31</v>
      </c>
    </row>
    <row r="70" spans="1:7" x14ac:dyDescent="0.25">
      <c r="A70" s="44" t="s">
        <v>29</v>
      </c>
      <c r="B70" s="45">
        <v>247</v>
      </c>
      <c r="C70" s="57">
        <v>14763.899999999991</v>
      </c>
      <c r="D70" s="47">
        <v>413</v>
      </c>
      <c r="E70" s="58">
        <v>24898.819999999996</v>
      </c>
      <c r="F70" s="49">
        <v>660</v>
      </c>
      <c r="G70" s="59">
        <v>39662.719999999987</v>
      </c>
    </row>
    <row r="97" spans="1:5" x14ac:dyDescent="0.25">
      <c r="A97" s="71"/>
      <c r="B97" s="72"/>
      <c r="C97" s="72"/>
      <c r="D97" s="72"/>
      <c r="E97" s="73"/>
    </row>
    <row r="98" spans="1:5" x14ac:dyDescent="0.25">
      <c r="A98" s="74"/>
      <c r="E98" s="68"/>
    </row>
    <row r="99" spans="1:5" x14ac:dyDescent="0.25">
      <c r="A99" s="74"/>
      <c r="B99" s="66" t="s">
        <v>26</v>
      </c>
      <c r="C99" s="83" t="s">
        <v>33</v>
      </c>
      <c r="D99" s="84" t="s">
        <v>34</v>
      </c>
      <c r="E99" s="75"/>
    </row>
    <row r="100" spans="1:5" x14ac:dyDescent="0.25">
      <c r="A100" s="74"/>
      <c r="B100" s="69">
        <v>24</v>
      </c>
      <c r="C100" s="80">
        <v>631.71</v>
      </c>
      <c r="D100" s="81">
        <v>878.62000000000012</v>
      </c>
      <c r="E100" s="65"/>
    </row>
    <row r="101" spans="1:5" x14ac:dyDescent="0.25">
      <c r="A101" s="74"/>
      <c r="B101" s="70">
        <v>25</v>
      </c>
      <c r="C101" s="67">
        <v>368.74</v>
      </c>
      <c r="D101" s="67">
        <v>1028.4100000000001</v>
      </c>
      <c r="E101" s="68"/>
    </row>
    <row r="102" spans="1:5" x14ac:dyDescent="0.25">
      <c r="A102" s="74"/>
      <c r="B102" s="69">
        <v>26</v>
      </c>
      <c r="C102" s="79">
        <v>619.50999999999988</v>
      </c>
      <c r="D102" s="79">
        <v>719.24000000000012</v>
      </c>
      <c r="E102" s="68"/>
    </row>
    <row r="103" spans="1:5" x14ac:dyDescent="0.25">
      <c r="A103" s="74"/>
      <c r="B103" s="70">
        <v>36</v>
      </c>
      <c r="C103" s="67">
        <v>505.64</v>
      </c>
      <c r="D103" s="67">
        <v>729.20999999999992</v>
      </c>
      <c r="E103" s="68"/>
    </row>
    <row r="104" spans="1:5" x14ac:dyDescent="0.25">
      <c r="A104" s="74"/>
      <c r="B104" s="69">
        <v>20</v>
      </c>
      <c r="C104" s="67">
        <v>368.8</v>
      </c>
      <c r="D104" s="81">
        <v>779.14999999999986</v>
      </c>
      <c r="E104" s="75"/>
    </row>
    <row r="105" spans="1:5" x14ac:dyDescent="0.25">
      <c r="A105" s="74"/>
      <c r="B105" s="70">
        <v>35</v>
      </c>
      <c r="C105" s="67">
        <v>482.34</v>
      </c>
      <c r="D105" s="64">
        <v>639.66</v>
      </c>
      <c r="E105" s="75"/>
    </row>
    <row r="106" spans="1:5" x14ac:dyDescent="0.25">
      <c r="A106" s="75"/>
      <c r="B106" s="69">
        <v>31</v>
      </c>
      <c r="C106" s="82">
        <v>589.95999999999992</v>
      </c>
      <c r="D106" s="67">
        <v>525.25</v>
      </c>
      <c r="E106" s="75"/>
    </row>
    <row r="107" spans="1:5" x14ac:dyDescent="0.25">
      <c r="A107" s="75"/>
      <c r="B107" s="70">
        <v>38</v>
      </c>
      <c r="C107" s="67">
        <v>568.76</v>
      </c>
      <c r="D107" s="64">
        <v>526.25</v>
      </c>
      <c r="E107" s="75"/>
    </row>
    <row r="108" spans="1:5" x14ac:dyDescent="0.25">
      <c r="A108" s="74"/>
      <c r="B108" s="70">
        <v>15</v>
      </c>
      <c r="C108" s="67">
        <v>190.66</v>
      </c>
      <c r="D108" s="67">
        <v>872.33999999999992</v>
      </c>
      <c r="E108" s="78"/>
    </row>
    <row r="109" spans="1:5" x14ac:dyDescent="0.25">
      <c r="A109" s="75"/>
      <c r="B109" s="70">
        <v>22</v>
      </c>
      <c r="C109" s="80">
        <v>291.37</v>
      </c>
      <c r="D109" s="67">
        <v>743.33</v>
      </c>
      <c r="E109" s="68"/>
    </row>
    <row r="110" spans="1:5" x14ac:dyDescent="0.25">
      <c r="A110" s="74"/>
      <c r="C110" s="65"/>
      <c r="E110" s="68"/>
    </row>
    <row r="111" spans="1:5" x14ac:dyDescent="0.25">
      <c r="A111" s="74"/>
      <c r="E111" s="68"/>
    </row>
    <row r="112" spans="1:5" x14ac:dyDescent="0.25">
      <c r="A112" s="76"/>
      <c r="B112" s="77"/>
      <c r="C112" s="77"/>
      <c r="D112" s="77"/>
      <c r="E112" s="78"/>
    </row>
  </sheetData>
  <mergeCells count="4">
    <mergeCell ref="G2:G3"/>
    <mergeCell ref="F2:F3"/>
    <mergeCell ref="D2:E2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G1000"/>
  <sheetViews>
    <sheetView zoomScaleNormal="100" workbookViewId="0">
      <selection activeCell="C2" sqref="C2:C9"/>
    </sheetView>
  </sheetViews>
  <sheetFormatPr defaultColWidth="14.5703125" defaultRowHeight="15" x14ac:dyDescent="0.25"/>
  <cols>
    <col min="1" max="1" width="10.42578125" customWidth="1"/>
    <col min="2" max="2" width="12.7109375" customWidth="1"/>
    <col min="3" max="3" width="9.5703125" customWidth="1"/>
    <col min="4" max="4" width="22.42578125" customWidth="1"/>
    <col min="5" max="26" width="10.7109375" customWidth="1"/>
  </cols>
  <sheetData>
    <row r="1" spans="1:7" x14ac:dyDescent="0.25">
      <c r="A1" s="33" t="s">
        <v>22</v>
      </c>
      <c r="B1" s="34" t="s">
        <v>23</v>
      </c>
      <c r="C1" s="35" t="s">
        <v>24</v>
      </c>
      <c r="D1" s="33" t="s">
        <v>25</v>
      </c>
    </row>
    <row r="2" spans="1:7" x14ac:dyDescent="0.25">
      <c r="A2" s="33">
        <v>16</v>
      </c>
      <c r="B2" s="34">
        <v>5.22</v>
      </c>
      <c r="C2" s="36">
        <v>48.26</v>
      </c>
      <c r="D2" s="33" t="s">
        <v>8</v>
      </c>
      <c r="E2">
        <f t="shared" ref="E2:E65" si="0">IF(D2="bien de conso.",1,0)</f>
        <v>1</v>
      </c>
      <c r="F2">
        <f t="shared" ref="F2:F65" si="1">IF($D2="nourriture",1,0)</f>
        <v>0</v>
      </c>
      <c r="G2">
        <f t="shared" ref="G2:G65" si="2">IF($D2="high tech",1,0)</f>
        <v>0</v>
      </c>
    </row>
    <row r="3" spans="1:7" x14ac:dyDescent="0.25">
      <c r="A3" s="33">
        <v>52</v>
      </c>
      <c r="B3" s="34">
        <v>6.17</v>
      </c>
      <c r="C3" s="36">
        <v>55.46</v>
      </c>
      <c r="D3" s="33" t="s">
        <v>8</v>
      </c>
      <c r="E3">
        <f t="shared" si="0"/>
        <v>1</v>
      </c>
      <c r="F3">
        <f t="shared" si="1"/>
        <v>0</v>
      </c>
      <c r="G3">
        <f t="shared" si="2"/>
        <v>0</v>
      </c>
    </row>
    <row r="4" spans="1:7" x14ac:dyDescent="0.25">
      <c r="A4" s="33">
        <v>58</v>
      </c>
      <c r="B4" s="34">
        <v>5.36</v>
      </c>
      <c r="C4" s="36">
        <v>53.2</v>
      </c>
      <c r="D4" s="33" t="s">
        <v>8</v>
      </c>
      <c r="E4">
        <f t="shared" si="0"/>
        <v>1</v>
      </c>
      <c r="F4">
        <f t="shared" si="1"/>
        <v>0</v>
      </c>
      <c r="G4">
        <f t="shared" si="2"/>
        <v>0</v>
      </c>
    </row>
    <row r="5" spans="1:7" x14ac:dyDescent="0.25">
      <c r="A5" s="33">
        <v>11</v>
      </c>
      <c r="B5" s="34">
        <v>5.46</v>
      </c>
      <c r="C5" s="36">
        <v>47.61</v>
      </c>
      <c r="D5" s="33" t="s">
        <v>8</v>
      </c>
      <c r="E5">
        <f t="shared" si="0"/>
        <v>1</v>
      </c>
      <c r="F5">
        <f t="shared" si="1"/>
        <v>0</v>
      </c>
      <c r="G5">
        <f t="shared" si="2"/>
        <v>0</v>
      </c>
    </row>
    <row r="6" spans="1:7" x14ac:dyDescent="0.25">
      <c r="A6" s="33">
        <v>25</v>
      </c>
      <c r="B6" s="34">
        <v>9.77</v>
      </c>
      <c r="C6" s="36">
        <v>81.569999999999993</v>
      </c>
      <c r="D6" s="33" t="s">
        <v>8</v>
      </c>
      <c r="E6">
        <f t="shared" si="0"/>
        <v>1</v>
      </c>
      <c r="F6">
        <f t="shared" si="1"/>
        <v>0</v>
      </c>
      <c r="G6">
        <f t="shared" si="2"/>
        <v>0</v>
      </c>
    </row>
    <row r="7" spans="1:7" x14ac:dyDescent="0.25">
      <c r="A7" s="33">
        <v>40</v>
      </c>
      <c r="B7" s="34">
        <v>6.96</v>
      </c>
      <c r="C7" s="36">
        <v>63.5</v>
      </c>
      <c r="D7" s="33" t="s">
        <v>8</v>
      </c>
      <c r="E7">
        <f t="shared" si="0"/>
        <v>1</v>
      </c>
      <c r="F7">
        <f t="shared" si="1"/>
        <v>0</v>
      </c>
      <c r="G7">
        <f t="shared" si="2"/>
        <v>0</v>
      </c>
    </row>
    <row r="8" spans="1:7" x14ac:dyDescent="0.25">
      <c r="A8" s="33">
        <v>8</v>
      </c>
      <c r="B8" s="34">
        <v>5.64</v>
      </c>
      <c r="C8" s="36">
        <v>46.17</v>
      </c>
      <c r="D8" s="33" t="s">
        <v>8</v>
      </c>
      <c r="E8">
        <f t="shared" si="0"/>
        <v>1</v>
      </c>
      <c r="F8">
        <f t="shared" si="1"/>
        <v>0</v>
      </c>
      <c r="G8">
        <f t="shared" si="2"/>
        <v>0</v>
      </c>
    </row>
    <row r="9" spans="1:7" x14ac:dyDescent="0.25">
      <c r="A9" s="33">
        <v>1</v>
      </c>
      <c r="B9" s="34">
        <v>4.5599999999999996</v>
      </c>
      <c r="C9" s="36">
        <v>46.9</v>
      </c>
      <c r="D9" s="33" t="s">
        <v>8</v>
      </c>
      <c r="E9">
        <f t="shared" si="0"/>
        <v>1</v>
      </c>
      <c r="F9">
        <f t="shared" si="1"/>
        <v>0</v>
      </c>
      <c r="G9">
        <f t="shared" si="2"/>
        <v>0</v>
      </c>
    </row>
    <row r="10" spans="1:7" x14ac:dyDescent="0.25">
      <c r="A10" s="33">
        <v>36</v>
      </c>
      <c r="B10" s="34">
        <v>5.2</v>
      </c>
      <c r="C10" s="36">
        <v>39.99</v>
      </c>
      <c r="D10" s="33" t="s">
        <v>8</v>
      </c>
      <c r="E10">
        <f t="shared" si="0"/>
        <v>1</v>
      </c>
      <c r="F10">
        <f t="shared" si="1"/>
        <v>0</v>
      </c>
      <c r="G10">
        <f t="shared" si="2"/>
        <v>0</v>
      </c>
    </row>
    <row r="11" spans="1:7" x14ac:dyDescent="0.25">
      <c r="A11" s="33">
        <v>14</v>
      </c>
      <c r="B11" s="34">
        <v>6.28</v>
      </c>
      <c r="C11" s="36">
        <v>58.85</v>
      </c>
      <c r="D11" s="33" t="s">
        <v>8</v>
      </c>
      <c r="E11">
        <f t="shared" si="0"/>
        <v>1</v>
      </c>
      <c r="F11">
        <f t="shared" si="1"/>
        <v>0</v>
      </c>
      <c r="G11">
        <f t="shared" si="2"/>
        <v>0</v>
      </c>
    </row>
    <row r="12" spans="1:7" x14ac:dyDescent="0.25">
      <c r="A12" s="33">
        <v>17</v>
      </c>
      <c r="B12" s="34">
        <v>6.06</v>
      </c>
      <c r="C12" s="36">
        <v>55.41</v>
      </c>
      <c r="D12" s="33" t="s">
        <v>8</v>
      </c>
      <c r="E12">
        <f t="shared" si="0"/>
        <v>1</v>
      </c>
      <c r="F12">
        <f t="shared" si="1"/>
        <v>0</v>
      </c>
      <c r="G12">
        <f t="shared" si="2"/>
        <v>0</v>
      </c>
    </row>
    <row r="13" spans="1:7" x14ac:dyDescent="0.25">
      <c r="A13" s="33">
        <v>19</v>
      </c>
      <c r="B13" s="34">
        <v>6.57</v>
      </c>
      <c r="C13" s="36">
        <v>64.61</v>
      </c>
      <c r="D13" s="33" t="s">
        <v>8</v>
      </c>
      <c r="E13">
        <f t="shared" si="0"/>
        <v>1</v>
      </c>
      <c r="F13">
        <f t="shared" si="1"/>
        <v>0</v>
      </c>
      <c r="G13">
        <f t="shared" si="2"/>
        <v>0</v>
      </c>
    </row>
    <row r="14" spans="1:7" x14ac:dyDescent="0.25">
      <c r="A14" s="33">
        <v>36</v>
      </c>
      <c r="B14" s="34">
        <v>4.24</v>
      </c>
      <c r="C14" s="36">
        <v>45.75</v>
      </c>
      <c r="D14" s="33" t="s">
        <v>8</v>
      </c>
      <c r="E14">
        <f t="shared" si="0"/>
        <v>1</v>
      </c>
      <c r="F14">
        <f t="shared" si="1"/>
        <v>0</v>
      </c>
      <c r="G14">
        <f t="shared" si="2"/>
        <v>0</v>
      </c>
    </row>
    <row r="15" spans="1:7" x14ac:dyDescent="0.25">
      <c r="A15" s="33">
        <v>45</v>
      </c>
      <c r="B15" s="34">
        <v>8.7100000000000009</v>
      </c>
      <c r="C15" s="36">
        <v>73.91</v>
      </c>
      <c r="D15" s="33" t="s">
        <v>8</v>
      </c>
      <c r="E15">
        <f t="shared" si="0"/>
        <v>1</v>
      </c>
      <c r="F15">
        <f t="shared" si="1"/>
        <v>0</v>
      </c>
      <c r="G15">
        <f t="shared" si="2"/>
        <v>0</v>
      </c>
    </row>
    <row r="16" spans="1:7" x14ac:dyDescent="0.25">
      <c r="A16" s="33">
        <v>3</v>
      </c>
      <c r="B16" s="34">
        <v>6.22</v>
      </c>
      <c r="C16" s="36">
        <v>51.33</v>
      </c>
      <c r="D16" s="33" t="s">
        <v>8</v>
      </c>
      <c r="E16">
        <f t="shared" si="0"/>
        <v>1</v>
      </c>
      <c r="F16">
        <f t="shared" si="1"/>
        <v>0</v>
      </c>
      <c r="G16">
        <f t="shared" si="2"/>
        <v>0</v>
      </c>
    </row>
    <row r="17" spans="1:7" x14ac:dyDescent="0.25">
      <c r="A17" s="33">
        <v>39</v>
      </c>
      <c r="B17" s="34">
        <v>5.47</v>
      </c>
      <c r="C17" s="36">
        <v>49.61</v>
      </c>
      <c r="D17" s="33" t="s">
        <v>8</v>
      </c>
      <c r="E17">
        <f t="shared" si="0"/>
        <v>1</v>
      </c>
      <c r="F17">
        <f t="shared" si="1"/>
        <v>0</v>
      </c>
      <c r="G17">
        <f t="shared" si="2"/>
        <v>0</v>
      </c>
    </row>
    <row r="18" spans="1:7" x14ac:dyDescent="0.25">
      <c r="A18" s="33">
        <v>15</v>
      </c>
      <c r="B18" s="34">
        <v>9.98</v>
      </c>
      <c r="C18" s="36">
        <v>83.73</v>
      </c>
      <c r="D18" s="33" t="s">
        <v>8</v>
      </c>
      <c r="E18">
        <f t="shared" si="0"/>
        <v>1</v>
      </c>
      <c r="F18">
        <f t="shared" si="1"/>
        <v>0</v>
      </c>
      <c r="G18">
        <f t="shared" si="2"/>
        <v>0</v>
      </c>
    </row>
    <row r="19" spans="1:7" x14ac:dyDescent="0.25">
      <c r="A19" s="33">
        <v>28</v>
      </c>
      <c r="B19" s="34">
        <v>5.39</v>
      </c>
      <c r="C19" s="36">
        <v>44.63</v>
      </c>
      <c r="D19" s="33" t="s">
        <v>8</v>
      </c>
      <c r="E19">
        <f t="shared" si="0"/>
        <v>1</v>
      </c>
      <c r="F19">
        <f t="shared" si="1"/>
        <v>0</v>
      </c>
      <c r="G19">
        <f t="shared" si="2"/>
        <v>0</v>
      </c>
    </row>
    <row r="20" spans="1:7" x14ac:dyDescent="0.25">
      <c r="A20" s="33">
        <v>7</v>
      </c>
      <c r="B20" s="34">
        <v>9.9499999999999993</v>
      </c>
      <c r="C20" s="36">
        <v>80.989999999999995</v>
      </c>
      <c r="D20" s="33" t="s">
        <v>8</v>
      </c>
      <c r="E20">
        <f t="shared" si="0"/>
        <v>1</v>
      </c>
      <c r="F20">
        <f t="shared" si="1"/>
        <v>0</v>
      </c>
      <c r="G20">
        <f t="shared" si="2"/>
        <v>0</v>
      </c>
    </row>
    <row r="21" spans="1:7" ht="15.75" customHeight="1" x14ac:dyDescent="0.25">
      <c r="A21" s="33">
        <v>41</v>
      </c>
      <c r="B21" s="34">
        <v>9.23</v>
      </c>
      <c r="C21" s="36">
        <v>74.239999999999995</v>
      </c>
      <c r="D21" s="33" t="s">
        <v>8</v>
      </c>
      <c r="E21">
        <f t="shared" si="0"/>
        <v>1</v>
      </c>
      <c r="F21">
        <f t="shared" si="1"/>
        <v>0</v>
      </c>
      <c r="G21">
        <f t="shared" si="2"/>
        <v>0</v>
      </c>
    </row>
    <row r="22" spans="1:7" ht="15.75" customHeight="1" x14ac:dyDescent="0.25">
      <c r="A22" s="33">
        <v>18</v>
      </c>
      <c r="B22" s="34">
        <v>8.39</v>
      </c>
      <c r="C22" s="36">
        <v>72.72</v>
      </c>
      <c r="D22" s="33" t="s">
        <v>8</v>
      </c>
      <c r="E22">
        <f t="shared" si="0"/>
        <v>1</v>
      </c>
      <c r="F22">
        <f t="shared" si="1"/>
        <v>0</v>
      </c>
      <c r="G22">
        <f t="shared" si="2"/>
        <v>0</v>
      </c>
    </row>
    <row r="23" spans="1:7" ht="15.75" customHeight="1" x14ac:dyDescent="0.25">
      <c r="A23" s="33">
        <v>23</v>
      </c>
      <c r="B23" s="34">
        <v>5.41</v>
      </c>
      <c r="C23" s="36">
        <v>44.6</v>
      </c>
      <c r="D23" s="33" t="s">
        <v>8</v>
      </c>
      <c r="E23">
        <f t="shared" si="0"/>
        <v>1</v>
      </c>
      <c r="F23">
        <f t="shared" si="1"/>
        <v>0</v>
      </c>
      <c r="G23">
        <f t="shared" si="2"/>
        <v>0</v>
      </c>
    </row>
    <row r="24" spans="1:7" ht="15.75" customHeight="1" x14ac:dyDescent="0.25">
      <c r="A24" s="33">
        <v>7</v>
      </c>
      <c r="B24" s="34">
        <v>7.45</v>
      </c>
      <c r="C24" s="36">
        <v>57.16</v>
      </c>
      <c r="D24" s="33" t="s">
        <v>8</v>
      </c>
      <c r="E24">
        <f t="shared" si="0"/>
        <v>1</v>
      </c>
      <c r="F24">
        <f t="shared" si="1"/>
        <v>0</v>
      </c>
      <c r="G24">
        <f t="shared" si="2"/>
        <v>0</v>
      </c>
    </row>
    <row r="25" spans="1:7" ht="15.75" customHeight="1" x14ac:dyDescent="0.25">
      <c r="A25" s="33">
        <v>43</v>
      </c>
      <c r="B25" s="34">
        <v>5.03</v>
      </c>
      <c r="C25" s="36">
        <v>41.59</v>
      </c>
      <c r="D25" s="33" t="s">
        <v>8</v>
      </c>
      <c r="E25">
        <f t="shared" si="0"/>
        <v>1</v>
      </c>
      <c r="F25">
        <f t="shared" si="1"/>
        <v>0</v>
      </c>
      <c r="G25">
        <f t="shared" si="2"/>
        <v>0</v>
      </c>
    </row>
    <row r="26" spans="1:7" ht="15.75" customHeight="1" x14ac:dyDescent="0.25">
      <c r="A26" s="33">
        <v>14</v>
      </c>
      <c r="B26" s="34">
        <v>5.15</v>
      </c>
      <c r="C26" s="36">
        <v>52.61</v>
      </c>
      <c r="D26" s="33" t="s">
        <v>8</v>
      </c>
      <c r="E26">
        <f t="shared" si="0"/>
        <v>1</v>
      </c>
      <c r="F26">
        <f t="shared" si="1"/>
        <v>0</v>
      </c>
      <c r="G26">
        <f t="shared" si="2"/>
        <v>0</v>
      </c>
    </row>
    <row r="27" spans="1:7" ht="15.75" customHeight="1" x14ac:dyDescent="0.25">
      <c r="A27" s="33">
        <v>7</v>
      </c>
      <c r="B27" s="34">
        <v>6.43</v>
      </c>
      <c r="C27" s="36">
        <v>54.95</v>
      </c>
      <c r="D27" s="33" t="s">
        <v>8</v>
      </c>
      <c r="E27">
        <f t="shared" si="0"/>
        <v>1</v>
      </c>
      <c r="F27">
        <f t="shared" si="1"/>
        <v>0</v>
      </c>
      <c r="G27">
        <f t="shared" si="2"/>
        <v>0</v>
      </c>
    </row>
    <row r="28" spans="1:7" ht="15.75" customHeight="1" x14ac:dyDescent="0.25">
      <c r="A28" s="33">
        <v>39</v>
      </c>
      <c r="B28" s="34">
        <v>8.93</v>
      </c>
      <c r="C28" s="36">
        <v>72.44</v>
      </c>
      <c r="D28" s="33" t="s">
        <v>8</v>
      </c>
      <c r="E28">
        <f t="shared" si="0"/>
        <v>1</v>
      </c>
      <c r="F28">
        <f t="shared" si="1"/>
        <v>0</v>
      </c>
      <c r="G28">
        <f t="shared" si="2"/>
        <v>0</v>
      </c>
    </row>
    <row r="29" spans="1:7" ht="15.75" customHeight="1" x14ac:dyDescent="0.25">
      <c r="A29" s="33">
        <v>12</v>
      </c>
      <c r="B29" s="34">
        <v>8.44</v>
      </c>
      <c r="C29" s="36">
        <v>68.91</v>
      </c>
      <c r="D29" s="33" t="s">
        <v>8</v>
      </c>
      <c r="E29">
        <f t="shared" si="0"/>
        <v>1</v>
      </c>
      <c r="F29">
        <f t="shared" si="1"/>
        <v>0</v>
      </c>
      <c r="G29">
        <f t="shared" si="2"/>
        <v>0</v>
      </c>
    </row>
    <row r="30" spans="1:7" ht="15.75" customHeight="1" x14ac:dyDescent="0.25">
      <c r="A30" s="33">
        <v>31</v>
      </c>
      <c r="B30" s="34">
        <v>8.92</v>
      </c>
      <c r="C30" s="36">
        <v>77.150000000000006</v>
      </c>
      <c r="D30" s="33" t="s">
        <v>8</v>
      </c>
      <c r="E30">
        <f t="shared" si="0"/>
        <v>1</v>
      </c>
      <c r="F30">
        <f t="shared" si="1"/>
        <v>0</v>
      </c>
      <c r="G30">
        <f t="shared" si="2"/>
        <v>0</v>
      </c>
    </row>
    <row r="31" spans="1:7" ht="15.75" customHeight="1" x14ac:dyDescent="0.25">
      <c r="A31" s="33">
        <v>29</v>
      </c>
      <c r="B31" s="34">
        <v>5.47</v>
      </c>
      <c r="C31" s="36">
        <v>44.4</v>
      </c>
      <c r="D31" s="33" t="s">
        <v>8</v>
      </c>
      <c r="E31">
        <f t="shared" si="0"/>
        <v>1</v>
      </c>
      <c r="F31">
        <f t="shared" si="1"/>
        <v>0</v>
      </c>
      <c r="G31">
        <f t="shared" si="2"/>
        <v>0</v>
      </c>
    </row>
    <row r="32" spans="1:7" ht="15.75" customHeight="1" x14ac:dyDescent="0.25">
      <c r="A32" s="33">
        <v>5</v>
      </c>
      <c r="B32" s="34">
        <v>7.28</v>
      </c>
      <c r="C32" s="36">
        <v>62.93</v>
      </c>
      <c r="D32" s="33" t="s">
        <v>8</v>
      </c>
      <c r="E32">
        <f t="shared" si="0"/>
        <v>1</v>
      </c>
      <c r="F32">
        <f t="shared" si="1"/>
        <v>0</v>
      </c>
      <c r="G32">
        <f t="shared" si="2"/>
        <v>0</v>
      </c>
    </row>
    <row r="33" spans="1:7" ht="15.75" customHeight="1" x14ac:dyDescent="0.25">
      <c r="A33" s="33">
        <v>1</v>
      </c>
      <c r="B33" s="34">
        <v>4.84</v>
      </c>
      <c r="C33" s="36">
        <v>37.46</v>
      </c>
      <c r="D33" s="33" t="s">
        <v>8</v>
      </c>
      <c r="E33">
        <f t="shared" si="0"/>
        <v>1</v>
      </c>
      <c r="F33">
        <f t="shared" si="1"/>
        <v>0</v>
      </c>
      <c r="G33">
        <f t="shared" si="2"/>
        <v>0</v>
      </c>
    </row>
    <row r="34" spans="1:7" ht="15.75" customHeight="1" x14ac:dyDescent="0.25">
      <c r="A34" s="33">
        <v>28</v>
      </c>
      <c r="B34" s="34">
        <v>7.6</v>
      </c>
      <c r="C34" s="36">
        <v>73.75</v>
      </c>
      <c r="D34" s="33" t="s">
        <v>8</v>
      </c>
      <c r="E34">
        <f t="shared" si="0"/>
        <v>1</v>
      </c>
      <c r="F34">
        <f t="shared" si="1"/>
        <v>0</v>
      </c>
      <c r="G34">
        <f t="shared" si="2"/>
        <v>0</v>
      </c>
    </row>
    <row r="35" spans="1:7" ht="15.75" customHeight="1" x14ac:dyDescent="0.25">
      <c r="A35" s="33">
        <v>35</v>
      </c>
      <c r="B35" s="34">
        <v>9.07</v>
      </c>
      <c r="C35" s="36">
        <v>67.150000000000006</v>
      </c>
      <c r="D35" s="33" t="s">
        <v>8</v>
      </c>
      <c r="E35">
        <f t="shared" si="0"/>
        <v>1</v>
      </c>
      <c r="F35">
        <f t="shared" si="1"/>
        <v>0</v>
      </c>
      <c r="G35">
        <f t="shared" si="2"/>
        <v>0</v>
      </c>
    </row>
    <row r="36" spans="1:7" ht="15.75" customHeight="1" x14ac:dyDescent="0.25">
      <c r="A36" s="33">
        <v>62</v>
      </c>
      <c r="B36" s="34">
        <v>9.91</v>
      </c>
      <c r="C36" s="36">
        <v>77.400000000000006</v>
      </c>
      <c r="D36" s="33" t="s">
        <v>8</v>
      </c>
      <c r="E36">
        <f t="shared" si="0"/>
        <v>1</v>
      </c>
      <c r="F36">
        <f t="shared" si="1"/>
        <v>0</v>
      </c>
      <c r="G36">
        <f t="shared" si="2"/>
        <v>0</v>
      </c>
    </row>
    <row r="37" spans="1:7" ht="15.75" customHeight="1" x14ac:dyDescent="0.25">
      <c r="A37" s="33">
        <v>31</v>
      </c>
      <c r="B37" s="34">
        <v>6.38</v>
      </c>
      <c r="C37" s="36">
        <v>63.51</v>
      </c>
      <c r="D37" s="33" t="s">
        <v>8</v>
      </c>
      <c r="E37">
        <f t="shared" si="0"/>
        <v>1</v>
      </c>
      <c r="F37">
        <f t="shared" si="1"/>
        <v>0</v>
      </c>
      <c r="G37">
        <f t="shared" si="2"/>
        <v>0</v>
      </c>
    </row>
    <row r="38" spans="1:7" ht="15.75" customHeight="1" x14ac:dyDescent="0.25">
      <c r="A38" s="33">
        <v>3</v>
      </c>
      <c r="B38" s="34">
        <v>5.63</v>
      </c>
      <c r="C38" s="36">
        <v>51.14</v>
      </c>
      <c r="D38" s="33" t="s">
        <v>8</v>
      </c>
      <c r="E38">
        <f t="shared" si="0"/>
        <v>1</v>
      </c>
      <c r="F38">
        <f t="shared" si="1"/>
        <v>0</v>
      </c>
      <c r="G38">
        <f t="shared" si="2"/>
        <v>0</v>
      </c>
    </row>
    <row r="39" spans="1:7" ht="15.75" customHeight="1" x14ac:dyDescent="0.25">
      <c r="A39" s="33">
        <v>53</v>
      </c>
      <c r="B39" s="34">
        <v>8.7200000000000006</v>
      </c>
      <c r="C39" s="36">
        <v>70.61</v>
      </c>
      <c r="D39" s="33" t="s">
        <v>8</v>
      </c>
      <c r="E39">
        <f t="shared" si="0"/>
        <v>1</v>
      </c>
      <c r="F39">
        <f t="shared" si="1"/>
        <v>0</v>
      </c>
      <c r="G39">
        <f t="shared" si="2"/>
        <v>0</v>
      </c>
    </row>
    <row r="40" spans="1:7" ht="15.75" customHeight="1" x14ac:dyDescent="0.25">
      <c r="A40" s="33">
        <v>31</v>
      </c>
      <c r="B40" s="34">
        <v>4.55</v>
      </c>
      <c r="C40" s="36">
        <v>44.23</v>
      </c>
      <c r="D40" s="33" t="s">
        <v>8</v>
      </c>
      <c r="E40">
        <f t="shared" si="0"/>
        <v>1</v>
      </c>
      <c r="F40">
        <f t="shared" si="1"/>
        <v>0</v>
      </c>
      <c r="G40">
        <f t="shared" si="2"/>
        <v>0</v>
      </c>
    </row>
    <row r="41" spans="1:7" ht="15.75" customHeight="1" x14ac:dyDescent="0.25">
      <c r="A41" s="33">
        <v>31</v>
      </c>
      <c r="B41" s="34">
        <v>6.55</v>
      </c>
      <c r="C41" s="36">
        <v>50.83</v>
      </c>
      <c r="D41" s="33" t="s">
        <v>8</v>
      </c>
      <c r="E41">
        <f t="shared" si="0"/>
        <v>1</v>
      </c>
      <c r="F41">
        <f t="shared" si="1"/>
        <v>0</v>
      </c>
      <c r="G41">
        <f t="shared" si="2"/>
        <v>0</v>
      </c>
    </row>
    <row r="42" spans="1:7" ht="15.75" customHeight="1" x14ac:dyDescent="0.25">
      <c r="A42" s="33">
        <v>22</v>
      </c>
      <c r="B42" s="34">
        <v>4.1500000000000004</v>
      </c>
      <c r="C42" s="36">
        <v>45.83</v>
      </c>
      <c r="D42" s="33" t="s">
        <v>8</v>
      </c>
      <c r="E42">
        <f t="shared" si="0"/>
        <v>1</v>
      </c>
      <c r="F42">
        <f t="shared" si="1"/>
        <v>0</v>
      </c>
      <c r="G42">
        <f t="shared" si="2"/>
        <v>0</v>
      </c>
    </row>
    <row r="43" spans="1:7" ht="15.75" customHeight="1" x14ac:dyDescent="0.25">
      <c r="A43" s="33">
        <v>20</v>
      </c>
      <c r="B43" s="34">
        <v>6.41</v>
      </c>
      <c r="C43" s="36">
        <v>45.66</v>
      </c>
      <c r="D43" s="33" t="s">
        <v>8</v>
      </c>
      <c r="E43">
        <f t="shared" si="0"/>
        <v>1</v>
      </c>
      <c r="F43">
        <f t="shared" si="1"/>
        <v>0</v>
      </c>
      <c r="G43">
        <f t="shared" si="2"/>
        <v>0</v>
      </c>
    </row>
    <row r="44" spans="1:7" ht="15.75" customHeight="1" x14ac:dyDescent="0.25">
      <c r="A44" s="33">
        <v>42</v>
      </c>
      <c r="B44" s="34">
        <v>7.52</v>
      </c>
      <c r="C44" s="36">
        <v>54.57</v>
      </c>
      <c r="D44" s="33" t="s">
        <v>8</v>
      </c>
      <c r="E44">
        <f t="shared" si="0"/>
        <v>1</v>
      </c>
      <c r="F44">
        <f t="shared" si="1"/>
        <v>0</v>
      </c>
      <c r="G44">
        <f t="shared" si="2"/>
        <v>0</v>
      </c>
    </row>
    <row r="45" spans="1:7" ht="15.75" customHeight="1" x14ac:dyDescent="0.25">
      <c r="A45" s="33">
        <v>16</v>
      </c>
      <c r="B45" s="34">
        <v>5.91</v>
      </c>
      <c r="C45" s="36">
        <v>56.36</v>
      </c>
      <c r="D45" s="33" t="s">
        <v>8</v>
      </c>
      <c r="E45">
        <f t="shared" si="0"/>
        <v>1</v>
      </c>
      <c r="F45">
        <f t="shared" si="1"/>
        <v>0</v>
      </c>
      <c r="G45">
        <f t="shared" si="2"/>
        <v>0</v>
      </c>
    </row>
    <row r="46" spans="1:7" ht="15.75" customHeight="1" x14ac:dyDescent="0.25">
      <c r="A46" s="33">
        <v>20</v>
      </c>
      <c r="B46" s="34">
        <v>8.31</v>
      </c>
      <c r="C46" s="36">
        <v>64.02</v>
      </c>
      <c r="D46" s="33" t="s">
        <v>8</v>
      </c>
      <c r="E46">
        <f t="shared" si="0"/>
        <v>1</v>
      </c>
      <c r="F46">
        <f t="shared" si="1"/>
        <v>0</v>
      </c>
      <c r="G46">
        <f t="shared" si="2"/>
        <v>0</v>
      </c>
    </row>
    <row r="47" spans="1:7" ht="15.75" customHeight="1" x14ac:dyDescent="0.25">
      <c r="A47" s="33">
        <v>15</v>
      </c>
      <c r="B47" s="34">
        <v>9.59</v>
      </c>
      <c r="C47" s="36">
        <v>71.150000000000006</v>
      </c>
      <c r="D47" s="33" t="s">
        <v>8</v>
      </c>
      <c r="E47">
        <f t="shared" si="0"/>
        <v>1</v>
      </c>
      <c r="F47">
        <f t="shared" si="1"/>
        <v>0</v>
      </c>
      <c r="G47">
        <f t="shared" si="2"/>
        <v>0</v>
      </c>
    </row>
    <row r="48" spans="1:7" ht="15.75" customHeight="1" x14ac:dyDescent="0.25">
      <c r="A48" s="33">
        <v>35</v>
      </c>
      <c r="B48" s="34">
        <v>4.88</v>
      </c>
      <c r="C48" s="36">
        <v>46.33</v>
      </c>
      <c r="D48" s="33" t="s">
        <v>8</v>
      </c>
      <c r="E48">
        <f t="shared" si="0"/>
        <v>1</v>
      </c>
      <c r="F48">
        <f t="shared" si="1"/>
        <v>0</v>
      </c>
      <c r="G48">
        <f t="shared" si="2"/>
        <v>0</v>
      </c>
    </row>
    <row r="49" spans="1:7" ht="15.75" customHeight="1" x14ac:dyDescent="0.25">
      <c r="A49" s="33">
        <v>28</v>
      </c>
      <c r="B49" s="34">
        <v>7.21</v>
      </c>
      <c r="C49" s="36">
        <v>52.08</v>
      </c>
      <c r="D49" s="33" t="s">
        <v>8</v>
      </c>
      <c r="E49">
        <f t="shared" si="0"/>
        <v>1</v>
      </c>
      <c r="F49">
        <f t="shared" si="1"/>
        <v>0</v>
      </c>
      <c r="G49">
        <f t="shared" si="2"/>
        <v>0</v>
      </c>
    </row>
    <row r="50" spans="1:7" ht="15.75" customHeight="1" x14ac:dyDescent="0.25">
      <c r="A50" s="33">
        <v>46</v>
      </c>
      <c r="B50" s="34">
        <v>9.93</v>
      </c>
      <c r="C50" s="36">
        <v>80.16</v>
      </c>
      <c r="D50" s="33" t="s">
        <v>8</v>
      </c>
      <c r="E50">
        <f t="shared" si="0"/>
        <v>1</v>
      </c>
      <c r="F50">
        <f t="shared" si="1"/>
        <v>0</v>
      </c>
      <c r="G50">
        <f t="shared" si="2"/>
        <v>0</v>
      </c>
    </row>
    <row r="51" spans="1:7" ht="15.75" customHeight="1" x14ac:dyDescent="0.25">
      <c r="A51" s="33">
        <v>31</v>
      </c>
      <c r="B51" s="34">
        <v>9.6</v>
      </c>
      <c r="C51" s="36">
        <v>79.55</v>
      </c>
      <c r="D51" s="33" t="s">
        <v>8</v>
      </c>
      <c r="E51">
        <f t="shared" si="0"/>
        <v>1</v>
      </c>
      <c r="F51">
        <f t="shared" si="1"/>
        <v>0</v>
      </c>
      <c r="G51">
        <f t="shared" si="2"/>
        <v>0</v>
      </c>
    </row>
    <row r="52" spans="1:7" ht="15.75" customHeight="1" x14ac:dyDescent="0.25">
      <c r="A52" s="33">
        <v>29</v>
      </c>
      <c r="B52" s="34">
        <v>9.02</v>
      </c>
      <c r="C52" s="36">
        <v>78.27</v>
      </c>
      <c r="D52" s="33" t="s">
        <v>8</v>
      </c>
      <c r="E52">
        <f t="shared" si="0"/>
        <v>1</v>
      </c>
      <c r="F52">
        <f t="shared" si="1"/>
        <v>0</v>
      </c>
      <c r="G52">
        <f t="shared" si="2"/>
        <v>0</v>
      </c>
    </row>
    <row r="53" spans="1:7" ht="15.75" customHeight="1" x14ac:dyDescent="0.25">
      <c r="A53" s="33">
        <v>28</v>
      </c>
      <c r="B53" s="34">
        <v>5.34</v>
      </c>
      <c r="C53" s="36">
        <v>51.69</v>
      </c>
      <c r="D53" s="33" t="s">
        <v>8</v>
      </c>
      <c r="E53">
        <f t="shared" si="0"/>
        <v>1</v>
      </c>
      <c r="F53">
        <f t="shared" si="1"/>
        <v>0</v>
      </c>
      <c r="G53">
        <f t="shared" si="2"/>
        <v>0</v>
      </c>
    </row>
    <row r="54" spans="1:7" ht="15.75" customHeight="1" x14ac:dyDescent="0.25">
      <c r="A54" s="33">
        <v>28</v>
      </c>
      <c r="B54" s="34">
        <v>9.49</v>
      </c>
      <c r="C54" s="36">
        <v>80.47</v>
      </c>
      <c r="D54" s="33" t="s">
        <v>8</v>
      </c>
      <c r="E54">
        <f t="shared" si="0"/>
        <v>1</v>
      </c>
      <c r="F54">
        <f t="shared" si="1"/>
        <v>0</v>
      </c>
      <c r="G54">
        <f t="shared" si="2"/>
        <v>0</v>
      </c>
    </row>
    <row r="55" spans="1:7" ht="15.75" customHeight="1" x14ac:dyDescent="0.25">
      <c r="A55" s="33">
        <v>25</v>
      </c>
      <c r="B55" s="34">
        <v>7.98</v>
      </c>
      <c r="C55" s="36">
        <v>66.28</v>
      </c>
      <c r="D55" s="33" t="s">
        <v>8</v>
      </c>
      <c r="E55">
        <f t="shared" si="0"/>
        <v>1</v>
      </c>
      <c r="F55">
        <f t="shared" si="1"/>
        <v>0</v>
      </c>
      <c r="G55">
        <f t="shared" si="2"/>
        <v>0</v>
      </c>
    </row>
    <row r="56" spans="1:7" ht="15.75" customHeight="1" x14ac:dyDescent="0.25">
      <c r="A56" s="33">
        <v>31</v>
      </c>
      <c r="B56" s="34">
        <v>7.33</v>
      </c>
      <c r="C56" s="36">
        <v>57</v>
      </c>
      <c r="D56" s="33" t="s">
        <v>8</v>
      </c>
      <c r="E56">
        <f t="shared" si="0"/>
        <v>1</v>
      </c>
      <c r="F56">
        <f t="shared" si="1"/>
        <v>0</v>
      </c>
      <c r="G56">
        <f t="shared" si="2"/>
        <v>0</v>
      </c>
    </row>
    <row r="57" spans="1:7" ht="15.75" customHeight="1" x14ac:dyDescent="0.25">
      <c r="A57" s="33">
        <v>19</v>
      </c>
      <c r="B57" s="34">
        <v>7.59</v>
      </c>
      <c r="C57" s="36">
        <v>58.01</v>
      </c>
      <c r="D57" s="33" t="s">
        <v>8</v>
      </c>
      <c r="E57">
        <f t="shared" si="0"/>
        <v>1</v>
      </c>
      <c r="F57">
        <f t="shared" si="1"/>
        <v>0</v>
      </c>
      <c r="G57">
        <f t="shared" si="2"/>
        <v>0</v>
      </c>
    </row>
    <row r="58" spans="1:7" ht="15.75" customHeight="1" x14ac:dyDescent="0.25">
      <c r="A58" s="33">
        <v>38</v>
      </c>
      <c r="B58" s="34">
        <v>6.82</v>
      </c>
      <c r="C58" s="36">
        <v>52.3</v>
      </c>
      <c r="D58" s="33" t="s">
        <v>8</v>
      </c>
      <c r="E58">
        <f t="shared" si="0"/>
        <v>1</v>
      </c>
      <c r="F58">
        <f t="shared" si="1"/>
        <v>0</v>
      </c>
      <c r="G58">
        <f t="shared" si="2"/>
        <v>0</v>
      </c>
    </row>
    <row r="59" spans="1:7" ht="15.75" customHeight="1" x14ac:dyDescent="0.25">
      <c r="A59" s="33">
        <v>67</v>
      </c>
      <c r="B59" s="34">
        <v>4.17</v>
      </c>
      <c r="C59" s="36">
        <v>38.17</v>
      </c>
      <c r="D59" s="33" t="s">
        <v>8</v>
      </c>
      <c r="E59">
        <f t="shared" si="0"/>
        <v>1</v>
      </c>
      <c r="F59">
        <f t="shared" si="1"/>
        <v>0</v>
      </c>
      <c r="G59">
        <f t="shared" si="2"/>
        <v>0</v>
      </c>
    </row>
    <row r="60" spans="1:7" ht="15.75" customHeight="1" x14ac:dyDescent="0.25">
      <c r="A60" s="33">
        <v>24</v>
      </c>
      <c r="B60" s="34">
        <v>4.4800000000000004</v>
      </c>
      <c r="C60" s="36">
        <v>38.24</v>
      </c>
      <c r="D60" s="33" t="s">
        <v>8</v>
      </c>
      <c r="E60">
        <f t="shared" si="0"/>
        <v>1</v>
      </c>
      <c r="F60">
        <f t="shared" si="1"/>
        <v>0</v>
      </c>
      <c r="G60">
        <f t="shared" si="2"/>
        <v>0</v>
      </c>
    </row>
    <row r="61" spans="1:7" ht="15.75" customHeight="1" x14ac:dyDescent="0.25">
      <c r="A61" s="33">
        <v>18</v>
      </c>
      <c r="B61" s="34">
        <v>9.1999999999999993</v>
      </c>
      <c r="C61" s="36">
        <v>76.39</v>
      </c>
      <c r="D61" s="33" t="s">
        <v>8</v>
      </c>
      <c r="E61">
        <f t="shared" si="0"/>
        <v>1</v>
      </c>
      <c r="F61">
        <f t="shared" si="1"/>
        <v>0</v>
      </c>
      <c r="G61">
        <f t="shared" si="2"/>
        <v>0</v>
      </c>
    </row>
    <row r="62" spans="1:7" ht="15.75" customHeight="1" x14ac:dyDescent="0.25">
      <c r="A62" s="33">
        <v>26</v>
      </c>
      <c r="B62" s="34">
        <v>8.14</v>
      </c>
      <c r="C62" s="36">
        <v>63.07</v>
      </c>
      <c r="D62" s="33" t="s">
        <v>8</v>
      </c>
      <c r="E62">
        <f t="shared" si="0"/>
        <v>1</v>
      </c>
      <c r="F62">
        <f t="shared" si="1"/>
        <v>0</v>
      </c>
      <c r="G62">
        <f t="shared" si="2"/>
        <v>0</v>
      </c>
    </row>
    <row r="63" spans="1:7" ht="15.75" customHeight="1" x14ac:dyDescent="0.25">
      <c r="A63" s="33">
        <v>49</v>
      </c>
      <c r="B63" s="34">
        <v>6.76</v>
      </c>
      <c r="C63" s="36">
        <v>59.39</v>
      </c>
      <c r="D63" s="33" t="s">
        <v>8</v>
      </c>
      <c r="E63">
        <f t="shared" si="0"/>
        <v>1</v>
      </c>
      <c r="F63">
        <f t="shared" si="1"/>
        <v>0</v>
      </c>
      <c r="G63">
        <f t="shared" si="2"/>
        <v>0</v>
      </c>
    </row>
    <row r="64" spans="1:7" ht="15.75" customHeight="1" x14ac:dyDescent="0.25">
      <c r="A64" s="33">
        <v>45</v>
      </c>
      <c r="B64" s="34">
        <v>4.59</v>
      </c>
      <c r="C64" s="36">
        <v>44.25</v>
      </c>
      <c r="D64" s="33" t="s">
        <v>8</v>
      </c>
      <c r="E64">
        <f t="shared" si="0"/>
        <v>1</v>
      </c>
      <c r="F64">
        <f t="shared" si="1"/>
        <v>0</v>
      </c>
      <c r="G64">
        <f t="shared" si="2"/>
        <v>0</v>
      </c>
    </row>
    <row r="65" spans="1:7" ht="15.75" customHeight="1" x14ac:dyDescent="0.25">
      <c r="A65" s="33">
        <v>37</v>
      </c>
      <c r="B65" s="34">
        <v>8.8000000000000007</v>
      </c>
      <c r="C65" s="36">
        <v>68.760000000000005</v>
      </c>
      <c r="D65" s="33" t="s">
        <v>8</v>
      </c>
      <c r="E65">
        <f t="shared" si="0"/>
        <v>1</v>
      </c>
      <c r="F65">
        <f t="shared" si="1"/>
        <v>0</v>
      </c>
      <c r="G65">
        <f t="shared" si="2"/>
        <v>0</v>
      </c>
    </row>
    <row r="66" spans="1:7" ht="15.75" customHeight="1" x14ac:dyDescent="0.25">
      <c r="A66" s="33">
        <v>29</v>
      </c>
      <c r="B66" s="34">
        <v>6.59</v>
      </c>
      <c r="C66" s="36">
        <v>52.87</v>
      </c>
      <c r="D66" s="33" t="s">
        <v>8</v>
      </c>
      <c r="E66">
        <f t="shared" ref="E66:E129" si="3">IF(D66="bien de conso.",1,0)</f>
        <v>1</v>
      </c>
      <c r="F66">
        <f t="shared" ref="F66:F129" si="4">IF($D66="nourriture",1,0)</f>
        <v>0</v>
      </c>
      <c r="G66">
        <f t="shared" ref="G66:G129" si="5">IF($D66="high tech",1,0)</f>
        <v>0</v>
      </c>
    </row>
    <row r="67" spans="1:7" ht="15.75" customHeight="1" x14ac:dyDescent="0.25">
      <c r="A67" s="33">
        <v>38</v>
      </c>
      <c r="B67" s="34">
        <v>4.57</v>
      </c>
      <c r="C67" s="36">
        <v>40.86</v>
      </c>
      <c r="D67" s="33" t="s">
        <v>8</v>
      </c>
      <c r="E67">
        <f t="shared" si="3"/>
        <v>1</v>
      </c>
      <c r="F67">
        <f t="shared" si="4"/>
        <v>0</v>
      </c>
      <c r="G67">
        <f t="shared" si="5"/>
        <v>0</v>
      </c>
    </row>
    <row r="68" spans="1:7" ht="15.75" customHeight="1" x14ac:dyDescent="0.25">
      <c r="A68" s="33">
        <v>36</v>
      </c>
      <c r="B68" s="34">
        <v>6.97</v>
      </c>
      <c r="C68" s="36">
        <v>58.86</v>
      </c>
      <c r="D68" s="33" t="s">
        <v>8</v>
      </c>
      <c r="E68">
        <f t="shared" si="3"/>
        <v>1</v>
      </c>
      <c r="F68">
        <f t="shared" si="4"/>
        <v>0</v>
      </c>
      <c r="G68">
        <f t="shared" si="5"/>
        <v>0</v>
      </c>
    </row>
    <row r="69" spans="1:7" ht="15.75" customHeight="1" x14ac:dyDescent="0.25">
      <c r="A69" s="33">
        <v>34</v>
      </c>
      <c r="B69" s="34">
        <v>6.82</v>
      </c>
      <c r="C69" s="36">
        <v>55.6</v>
      </c>
      <c r="D69" s="33" t="s">
        <v>8</v>
      </c>
      <c r="E69">
        <f t="shared" si="3"/>
        <v>1</v>
      </c>
      <c r="F69">
        <f t="shared" si="4"/>
        <v>0</v>
      </c>
      <c r="G69">
        <f t="shared" si="5"/>
        <v>0</v>
      </c>
    </row>
    <row r="70" spans="1:7" ht="15.75" customHeight="1" x14ac:dyDescent="0.25">
      <c r="A70" s="33">
        <v>43</v>
      </c>
      <c r="B70" s="34">
        <v>5.56</v>
      </c>
      <c r="C70" s="36">
        <v>43.2</v>
      </c>
      <c r="D70" s="33" t="s">
        <v>8</v>
      </c>
      <c r="E70">
        <f t="shared" si="3"/>
        <v>1</v>
      </c>
      <c r="F70">
        <f t="shared" si="4"/>
        <v>0</v>
      </c>
      <c r="G70">
        <f t="shared" si="5"/>
        <v>0</v>
      </c>
    </row>
    <row r="71" spans="1:7" ht="15.75" customHeight="1" x14ac:dyDescent="0.25">
      <c r="A71" s="33">
        <v>28</v>
      </c>
      <c r="B71" s="34">
        <v>5.29</v>
      </c>
      <c r="C71" s="36">
        <v>46.77</v>
      </c>
      <c r="D71" s="33" t="s">
        <v>8</v>
      </c>
      <c r="E71">
        <f t="shared" si="3"/>
        <v>1</v>
      </c>
      <c r="F71">
        <f t="shared" si="4"/>
        <v>0</v>
      </c>
      <c r="G71">
        <f t="shared" si="5"/>
        <v>0</v>
      </c>
    </row>
    <row r="72" spans="1:7" ht="15.75" customHeight="1" x14ac:dyDescent="0.25">
      <c r="A72" s="33">
        <v>11</v>
      </c>
      <c r="B72" s="34">
        <v>6.64</v>
      </c>
      <c r="C72" s="36">
        <v>52.51</v>
      </c>
      <c r="D72" s="33" t="s">
        <v>8</v>
      </c>
      <c r="E72">
        <f t="shared" si="3"/>
        <v>1</v>
      </c>
      <c r="F72">
        <f t="shared" si="4"/>
        <v>0</v>
      </c>
      <c r="G72">
        <f t="shared" si="5"/>
        <v>0</v>
      </c>
    </row>
    <row r="73" spans="1:7" ht="15.75" customHeight="1" x14ac:dyDescent="0.25">
      <c r="A73" s="33">
        <v>7</v>
      </c>
      <c r="B73" s="34">
        <v>7.75</v>
      </c>
      <c r="C73" s="36">
        <v>54.28</v>
      </c>
      <c r="D73" s="33" t="s">
        <v>8</v>
      </c>
      <c r="E73">
        <f t="shared" si="3"/>
        <v>1</v>
      </c>
      <c r="F73">
        <f t="shared" si="4"/>
        <v>0</v>
      </c>
      <c r="G73">
        <f t="shared" si="5"/>
        <v>0</v>
      </c>
    </row>
    <row r="74" spans="1:7" ht="15.75" customHeight="1" x14ac:dyDescent="0.25">
      <c r="A74" s="33">
        <v>33</v>
      </c>
      <c r="B74" s="34">
        <v>6.99</v>
      </c>
      <c r="C74" s="36">
        <v>54.32</v>
      </c>
      <c r="D74" s="33" t="s">
        <v>8</v>
      </c>
      <c r="E74">
        <f t="shared" si="3"/>
        <v>1</v>
      </c>
      <c r="F74">
        <f t="shared" si="4"/>
        <v>0</v>
      </c>
      <c r="G74">
        <f t="shared" si="5"/>
        <v>0</v>
      </c>
    </row>
    <row r="75" spans="1:7" ht="15.75" customHeight="1" x14ac:dyDescent="0.25">
      <c r="A75" s="33">
        <v>20</v>
      </c>
      <c r="B75" s="34">
        <v>7.31</v>
      </c>
      <c r="C75" s="36">
        <v>57.02</v>
      </c>
      <c r="D75" s="33" t="s">
        <v>8</v>
      </c>
      <c r="E75">
        <f t="shared" si="3"/>
        <v>1</v>
      </c>
      <c r="F75">
        <f t="shared" si="4"/>
        <v>0</v>
      </c>
      <c r="G75">
        <f t="shared" si="5"/>
        <v>0</v>
      </c>
    </row>
    <row r="76" spans="1:7" ht="15.75" customHeight="1" x14ac:dyDescent="0.25">
      <c r="A76" s="33">
        <v>24</v>
      </c>
      <c r="B76" s="34">
        <v>8.6</v>
      </c>
      <c r="C76" s="36">
        <v>68.48</v>
      </c>
      <c r="D76" s="33" t="s">
        <v>8</v>
      </c>
      <c r="E76">
        <f t="shared" si="3"/>
        <v>1</v>
      </c>
      <c r="F76">
        <f t="shared" si="4"/>
        <v>0</v>
      </c>
      <c r="G76">
        <f t="shared" si="5"/>
        <v>0</v>
      </c>
    </row>
    <row r="77" spans="1:7" ht="15.75" customHeight="1" x14ac:dyDescent="0.25">
      <c r="A77" s="33">
        <v>30</v>
      </c>
      <c r="B77" s="34">
        <v>4.93</v>
      </c>
      <c r="C77" s="36">
        <v>43.97</v>
      </c>
      <c r="D77" s="33" t="s">
        <v>8</v>
      </c>
      <c r="E77">
        <f t="shared" si="3"/>
        <v>1</v>
      </c>
      <c r="F77">
        <f t="shared" si="4"/>
        <v>0</v>
      </c>
      <c r="G77">
        <f t="shared" si="5"/>
        <v>0</v>
      </c>
    </row>
    <row r="78" spans="1:7" ht="15.75" customHeight="1" x14ac:dyDescent="0.25">
      <c r="A78" s="33">
        <v>24</v>
      </c>
      <c r="B78" s="34">
        <v>4.05</v>
      </c>
      <c r="C78" s="36">
        <v>47.74</v>
      </c>
      <c r="D78" s="33" t="s">
        <v>8</v>
      </c>
      <c r="E78">
        <f t="shared" si="3"/>
        <v>1</v>
      </c>
      <c r="F78">
        <f t="shared" si="4"/>
        <v>0</v>
      </c>
      <c r="G78">
        <f t="shared" si="5"/>
        <v>0</v>
      </c>
    </row>
    <row r="79" spans="1:7" ht="15.75" customHeight="1" x14ac:dyDescent="0.25">
      <c r="A79" s="33">
        <v>6</v>
      </c>
      <c r="B79" s="34">
        <v>9.0500000000000007</v>
      </c>
      <c r="C79" s="36">
        <v>77.84</v>
      </c>
      <c r="D79" s="33" t="s">
        <v>8</v>
      </c>
      <c r="E79">
        <f t="shared" si="3"/>
        <v>1</v>
      </c>
      <c r="F79">
        <f t="shared" si="4"/>
        <v>0</v>
      </c>
      <c r="G79">
        <f t="shared" si="5"/>
        <v>0</v>
      </c>
    </row>
    <row r="80" spans="1:7" ht="15.75" customHeight="1" x14ac:dyDescent="0.25">
      <c r="A80" s="33">
        <v>36</v>
      </c>
      <c r="B80" s="34">
        <v>5.77</v>
      </c>
      <c r="C80" s="36">
        <v>46.76</v>
      </c>
      <c r="D80" s="33" t="s">
        <v>8</v>
      </c>
      <c r="E80">
        <f t="shared" si="3"/>
        <v>1</v>
      </c>
      <c r="F80">
        <f t="shared" si="4"/>
        <v>0</v>
      </c>
      <c r="G80">
        <f t="shared" si="5"/>
        <v>0</v>
      </c>
    </row>
    <row r="81" spans="1:7" ht="15.75" customHeight="1" x14ac:dyDescent="0.25">
      <c r="A81" s="33">
        <v>26</v>
      </c>
      <c r="B81" s="34">
        <v>7.37</v>
      </c>
      <c r="C81" s="36">
        <v>69.61</v>
      </c>
      <c r="D81" s="33" t="s">
        <v>8</v>
      </c>
      <c r="E81">
        <f t="shared" si="3"/>
        <v>1</v>
      </c>
      <c r="F81">
        <f t="shared" si="4"/>
        <v>0</v>
      </c>
      <c r="G81">
        <f t="shared" si="5"/>
        <v>0</v>
      </c>
    </row>
    <row r="82" spans="1:7" ht="15.75" customHeight="1" x14ac:dyDescent="0.25">
      <c r="A82" s="33">
        <v>6</v>
      </c>
      <c r="B82" s="34">
        <v>6.34</v>
      </c>
      <c r="C82" s="36">
        <v>52.36</v>
      </c>
      <c r="D82" s="33" t="s">
        <v>8</v>
      </c>
      <c r="E82">
        <f t="shared" si="3"/>
        <v>1</v>
      </c>
      <c r="F82">
        <f t="shared" si="4"/>
        <v>0</v>
      </c>
      <c r="G82">
        <f t="shared" si="5"/>
        <v>0</v>
      </c>
    </row>
    <row r="83" spans="1:7" ht="15.75" customHeight="1" x14ac:dyDescent="0.25">
      <c r="A83" s="33">
        <v>41</v>
      </c>
      <c r="B83" s="34">
        <v>5.14</v>
      </c>
      <c r="C83" s="36">
        <v>46.8</v>
      </c>
      <c r="D83" s="33" t="s">
        <v>8</v>
      </c>
      <c r="E83">
        <f t="shared" si="3"/>
        <v>1</v>
      </c>
      <c r="F83">
        <f t="shared" si="4"/>
        <v>0</v>
      </c>
      <c r="G83">
        <f t="shared" si="5"/>
        <v>0</v>
      </c>
    </row>
    <row r="84" spans="1:7" ht="15.75" customHeight="1" x14ac:dyDescent="0.25">
      <c r="A84" s="33">
        <v>5</v>
      </c>
      <c r="B84" s="34">
        <v>5.43</v>
      </c>
      <c r="C84" s="36">
        <v>39.72</v>
      </c>
      <c r="D84" s="33" t="s">
        <v>8</v>
      </c>
      <c r="E84">
        <f t="shared" si="3"/>
        <v>1</v>
      </c>
      <c r="F84">
        <f t="shared" si="4"/>
        <v>0</v>
      </c>
      <c r="G84">
        <f t="shared" si="5"/>
        <v>0</v>
      </c>
    </row>
    <row r="85" spans="1:7" ht="15.75" customHeight="1" x14ac:dyDescent="0.25">
      <c r="A85" s="33">
        <v>6</v>
      </c>
      <c r="B85" s="34">
        <v>8.98</v>
      </c>
      <c r="C85" s="36">
        <v>72.540000000000006</v>
      </c>
      <c r="D85" s="33" t="s">
        <v>8</v>
      </c>
      <c r="E85">
        <f t="shared" si="3"/>
        <v>1</v>
      </c>
      <c r="F85">
        <f t="shared" si="4"/>
        <v>0</v>
      </c>
      <c r="G85">
        <f t="shared" si="5"/>
        <v>0</v>
      </c>
    </row>
    <row r="86" spans="1:7" ht="15.75" customHeight="1" x14ac:dyDescent="0.25">
      <c r="A86" s="33">
        <v>7</v>
      </c>
      <c r="B86" s="34">
        <v>8.9600000000000009</v>
      </c>
      <c r="C86" s="36">
        <v>79.349999999999994</v>
      </c>
      <c r="D86" s="33" t="s">
        <v>8</v>
      </c>
      <c r="E86">
        <f t="shared" si="3"/>
        <v>1</v>
      </c>
      <c r="F86">
        <f t="shared" si="4"/>
        <v>0</v>
      </c>
      <c r="G86">
        <f t="shared" si="5"/>
        <v>0</v>
      </c>
    </row>
    <row r="87" spans="1:7" ht="15.75" customHeight="1" x14ac:dyDescent="0.25">
      <c r="A87" s="33">
        <v>38</v>
      </c>
      <c r="B87" s="34">
        <v>7.34</v>
      </c>
      <c r="C87" s="36">
        <v>56.7</v>
      </c>
      <c r="D87" s="33" t="s">
        <v>8</v>
      </c>
      <c r="E87">
        <f t="shared" si="3"/>
        <v>1</v>
      </c>
      <c r="F87">
        <f t="shared" si="4"/>
        <v>0</v>
      </c>
      <c r="G87">
        <f t="shared" si="5"/>
        <v>0</v>
      </c>
    </row>
    <row r="88" spans="1:7" ht="15.75" customHeight="1" x14ac:dyDescent="0.25">
      <c r="A88" s="33">
        <v>1</v>
      </c>
      <c r="B88" s="34">
        <v>6.81</v>
      </c>
      <c r="C88" s="36">
        <v>64.599999999999994</v>
      </c>
      <c r="D88" s="33" t="s">
        <v>8</v>
      </c>
      <c r="E88">
        <f t="shared" si="3"/>
        <v>1</v>
      </c>
      <c r="F88">
        <f t="shared" si="4"/>
        <v>0</v>
      </c>
      <c r="G88">
        <f t="shared" si="5"/>
        <v>0</v>
      </c>
    </row>
    <row r="89" spans="1:7" ht="15.75" customHeight="1" x14ac:dyDescent="0.25">
      <c r="A89" s="33">
        <v>24</v>
      </c>
      <c r="B89" s="34">
        <v>7.9</v>
      </c>
      <c r="C89" s="36">
        <v>65.95</v>
      </c>
      <c r="D89" s="33" t="s">
        <v>8</v>
      </c>
      <c r="E89">
        <f t="shared" si="3"/>
        <v>1</v>
      </c>
      <c r="F89">
        <f t="shared" si="4"/>
        <v>0</v>
      </c>
      <c r="G89">
        <f t="shared" si="5"/>
        <v>0</v>
      </c>
    </row>
    <row r="90" spans="1:7" ht="15.75" customHeight="1" x14ac:dyDescent="0.25">
      <c r="A90" s="33">
        <v>10</v>
      </c>
      <c r="B90" s="34">
        <v>6.69</v>
      </c>
      <c r="C90" s="36">
        <v>57.47</v>
      </c>
      <c r="D90" s="33" t="s">
        <v>8</v>
      </c>
      <c r="E90">
        <f t="shared" si="3"/>
        <v>1</v>
      </c>
      <c r="F90">
        <f t="shared" si="4"/>
        <v>0</v>
      </c>
      <c r="G90">
        <f t="shared" si="5"/>
        <v>0</v>
      </c>
    </row>
    <row r="91" spans="1:7" ht="15.75" customHeight="1" x14ac:dyDescent="0.25">
      <c r="A91" s="33">
        <v>10</v>
      </c>
      <c r="B91" s="34">
        <v>7.21</v>
      </c>
      <c r="C91" s="36">
        <v>56.66</v>
      </c>
      <c r="D91" s="33" t="s">
        <v>8</v>
      </c>
      <c r="E91">
        <f t="shared" si="3"/>
        <v>1</v>
      </c>
      <c r="F91">
        <f t="shared" si="4"/>
        <v>0</v>
      </c>
      <c r="G91">
        <f t="shared" si="5"/>
        <v>0</v>
      </c>
    </row>
    <row r="92" spans="1:7" ht="15.75" customHeight="1" x14ac:dyDescent="0.25">
      <c r="A92" s="33">
        <v>16</v>
      </c>
      <c r="B92" s="34">
        <v>9.15</v>
      </c>
      <c r="C92" s="36">
        <v>69.040000000000006</v>
      </c>
      <c r="D92" s="33" t="s">
        <v>8</v>
      </c>
      <c r="E92">
        <f t="shared" si="3"/>
        <v>1</v>
      </c>
      <c r="F92">
        <f t="shared" si="4"/>
        <v>0</v>
      </c>
      <c r="G92">
        <f t="shared" si="5"/>
        <v>0</v>
      </c>
    </row>
    <row r="93" spans="1:7" ht="15.75" customHeight="1" x14ac:dyDescent="0.25">
      <c r="A93" s="33">
        <v>23</v>
      </c>
      <c r="B93" s="34">
        <v>4.17</v>
      </c>
      <c r="C93" s="36">
        <v>39.58</v>
      </c>
      <c r="D93" s="33" t="s">
        <v>8</v>
      </c>
      <c r="E93">
        <f t="shared" si="3"/>
        <v>1</v>
      </c>
      <c r="F93">
        <f t="shared" si="4"/>
        <v>0</v>
      </c>
      <c r="G93">
        <f t="shared" si="5"/>
        <v>0</v>
      </c>
    </row>
    <row r="94" spans="1:7" ht="15.75" customHeight="1" x14ac:dyDescent="0.25">
      <c r="A94" s="33">
        <v>35</v>
      </c>
      <c r="B94" s="34">
        <v>7.37</v>
      </c>
      <c r="C94" s="36">
        <v>57.9</v>
      </c>
      <c r="D94" s="33" t="s">
        <v>8</v>
      </c>
      <c r="E94">
        <f t="shared" si="3"/>
        <v>1</v>
      </c>
      <c r="F94">
        <f t="shared" si="4"/>
        <v>0</v>
      </c>
      <c r="G94">
        <f t="shared" si="5"/>
        <v>0</v>
      </c>
    </row>
    <row r="95" spans="1:7" ht="15.75" customHeight="1" x14ac:dyDescent="0.25">
      <c r="A95" s="33">
        <v>6</v>
      </c>
      <c r="B95" s="34">
        <v>7.52</v>
      </c>
      <c r="C95" s="36">
        <v>63.74</v>
      </c>
      <c r="D95" s="33" t="s">
        <v>8</v>
      </c>
      <c r="E95">
        <f t="shared" si="3"/>
        <v>1</v>
      </c>
      <c r="F95">
        <f t="shared" si="4"/>
        <v>0</v>
      </c>
      <c r="G95">
        <f t="shared" si="5"/>
        <v>0</v>
      </c>
    </row>
    <row r="96" spans="1:7" ht="15.75" customHeight="1" x14ac:dyDescent="0.25">
      <c r="A96" s="33">
        <v>24</v>
      </c>
      <c r="B96" s="34">
        <v>4.66</v>
      </c>
      <c r="C96" s="36">
        <v>38.69</v>
      </c>
      <c r="D96" s="33" t="s">
        <v>8</v>
      </c>
      <c r="E96">
        <f t="shared" si="3"/>
        <v>1</v>
      </c>
      <c r="F96">
        <f t="shared" si="4"/>
        <v>0</v>
      </c>
      <c r="G96">
        <f t="shared" si="5"/>
        <v>0</v>
      </c>
    </row>
    <row r="97" spans="1:7" ht="15.75" customHeight="1" x14ac:dyDescent="0.25">
      <c r="A97" s="33">
        <v>34</v>
      </c>
      <c r="B97" s="34">
        <v>8.64</v>
      </c>
      <c r="C97" s="36">
        <v>65.87</v>
      </c>
      <c r="D97" s="33" t="s">
        <v>8</v>
      </c>
      <c r="E97">
        <f t="shared" si="3"/>
        <v>1</v>
      </c>
      <c r="F97">
        <f t="shared" si="4"/>
        <v>0</v>
      </c>
      <c r="G97">
        <f t="shared" si="5"/>
        <v>0</v>
      </c>
    </row>
    <row r="98" spans="1:7" ht="15.75" customHeight="1" x14ac:dyDescent="0.25">
      <c r="A98" s="33">
        <v>26</v>
      </c>
      <c r="B98" s="34">
        <v>7.31</v>
      </c>
      <c r="C98" s="36">
        <v>62.13</v>
      </c>
      <c r="D98" s="33" t="s">
        <v>8</v>
      </c>
      <c r="E98">
        <f t="shared" si="3"/>
        <v>1</v>
      </c>
      <c r="F98">
        <f t="shared" si="4"/>
        <v>0</v>
      </c>
      <c r="G98">
        <f t="shared" si="5"/>
        <v>0</v>
      </c>
    </row>
    <row r="99" spans="1:7" ht="15.75" customHeight="1" x14ac:dyDescent="0.25">
      <c r="A99" s="33">
        <v>34</v>
      </c>
      <c r="B99" s="34">
        <v>5.38</v>
      </c>
      <c r="C99" s="36">
        <v>50.46</v>
      </c>
      <c r="D99" s="33" t="s">
        <v>8</v>
      </c>
      <c r="E99">
        <f t="shared" si="3"/>
        <v>1</v>
      </c>
      <c r="F99">
        <f t="shared" si="4"/>
        <v>0</v>
      </c>
      <c r="G99">
        <f t="shared" si="5"/>
        <v>0</v>
      </c>
    </row>
    <row r="100" spans="1:7" ht="15.75" customHeight="1" x14ac:dyDescent="0.25">
      <c r="A100" s="33">
        <v>18</v>
      </c>
      <c r="B100" s="34">
        <v>8.1</v>
      </c>
      <c r="C100" s="36">
        <v>77.16</v>
      </c>
      <c r="D100" s="33" t="s">
        <v>8</v>
      </c>
      <c r="E100">
        <f t="shared" si="3"/>
        <v>1</v>
      </c>
      <c r="F100">
        <f t="shared" si="4"/>
        <v>0</v>
      </c>
      <c r="G100">
        <f t="shared" si="5"/>
        <v>0</v>
      </c>
    </row>
    <row r="101" spans="1:7" ht="15.75" customHeight="1" x14ac:dyDescent="0.25">
      <c r="A101" s="33">
        <v>18</v>
      </c>
      <c r="B101" s="34">
        <v>6.06</v>
      </c>
      <c r="C101" s="36">
        <v>52.84</v>
      </c>
      <c r="D101" s="33" t="s">
        <v>8</v>
      </c>
      <c r="E101">
        <f t="shared" si="3"/>
        <v>1</v>
      </c>
      <c r="F101">
        <f t="shared" si="4"/>
        <v>0</v>
      </c>
      <c r="G101">
        <f t="shared" si="5"/>
        <v>0</v>
      </c>
    </row>
    <row r="102" spans="1:7" ht="15.75" customHeight="1" x14ac:dyDescent="0.25">
      <c r="A102" s="33">
        <v>22</v>
      </c>
      <c r="B102" s="34">
        <v>9.8699999999999992</v>
      </c>
      <c r="C102" s="36">
        <v>84.28</v>
      </c>
      <c r="D102" s="33" t="s">
        <v>8</v>
      </c>
      <c r="E102">
        <f t="shared" si="3"/>
        <v>1</v>
      </c>
      <c r="F102">
        <f t="shared" si="4"/>
        <v>0</v>
      </c>
      <c r="G102">
        <f t="shared" si="5"/>
        <v>0</v>
      </c>
    </row>
    <row r="103" spans="1:7" ht="15.75" customHeight="1" x14ac:dyDescent="0.25">
      <c r="A103" s="33">
        <v>27</v>
      </c>
      <c r="B103" s="34">
        <v>4.7</v>
      </c>
      <c r="C103" s="36">
        <v>44.37</v>
      </c>
      <c r="D103" s="33" t="s">
        <v>8</v>
      </c>
      <c r="E103">
        <f t="shared" si="3"/>
        <v>1</v>
      </c>
      <c r="F103">
        <f t="shared" si="4"/>
        <v>0</v>
      </c>
      <c r="G103">
        <f t="shared" si="5"/>
        <v>0</v>
      </c>
    </row>
    <row r="104" spans="1:7" ht="15.75" customHeight="1" x14ac:dyDescent="0.25">
      <c r="A104" s="33">
        <v>31</v>
      </c>
      <c r="B104" s="34">
        <v>5.87</v>
      </c>
      <c r="C104" s="36">
        <v>57.43</v>
      </c>
      <c r="D104" s="33" t="s">
        <v>8</v>
      </c>
      <c r="E104">
        <f t="shared" si="3"/>
        <v>1</v>
      </c>
      <c r="F104">
        <f t="shared" si="4"/>
        <v>0</v>
      </c>
      <c r="G104">
        <f t="shared" si="5"/>
        <v>0</v>
      </c>
    </row>
    <row r="105" spans="1:7" ht="15.75" customHeight="1" x14ac:dyDescent="0.25">
      <c r="A105" s="33">
        <v>27</v>
      </c>
      <c r="B105" s="34">
        <v>4.84</v>
      </c>
      <c r="C105" s="36">
        <v>45.31</v>
      </c>
      <c r="D105" s="33" t="s">
        <v>8</v>
      </c>
      <c r="E105">
        <f t="shared" si="3"/>
        <v>1</v>
      </c>
      <c r="F105">
        <f t="shared" si="4"/>
        <v>0</v>
      </c>
      <c r="G105">
        <f t="shared" si="5"/>
        <v>0</v>
      </c>
    </row>
    <row r="106" spans="1:7" ht="15.75" customHeight="1" x14ac:dyDescent="0.25">
      <c r="A106" s="33">
        <v>26</v>
      </c>
      <c r="B106" s="34">
        <v>8.6300000000000008</v>
      </c>
      <c r="C106" s="36">
        <v>68.959999999999994</v>
      </c>
      <c r="D106" s="33" t="s">
        <v>8</v>
      </c>
      <c r="E106">
        <f t="shared" si="3"/>
        <v>1</v>
      </c>
      <c r="F106">
        <f t="shared" si="4"/>
        <v>0</v>
      </c>
      <c r="G106">
        <f t="shared" si="5"/>
        <v>0</v>
      </c>
    </row>
    <row r="107" spans="1:7" ht="15.75" customHeight="1" x14ac:dyDescent="0.25">
      <c r="A107" s="33">
        <v>34</v>
      </c>
      <c r="B107" s="34">
        <v>9.94</v>
      </c>
      <c r="C107" s="36">
        <v>81.680000000000007</v>
      </c>
      <c r="D107" s="33" t="s">
        <v>8</v>
      </c>
      <c r="E107">
        <f t="shared" si="3"/>
        <v>1</v>
      </c>
      <c r="F107">
        <f t="shared" si="4"/>
        <v>0</v>
      </c>
      <c r="G107">
        <f t="shared" si="5"/>
        <v>0</v>
      </c>
    </row>
    <row r="108" spans="1:7" ht="15.75" customHeight="1" x14ac:dyDescent="0.25">
      <c r="A108" s="33">
        <v>18</v>
      </c>
      <c r="B108" s="34">
        <v>9.99</v>
      </c>
      <c r="C108" s="36">
        <v>75.739999999999995</v>
      </c>
      <c r="D108" s="33" t="s">
        <v>8</v>
      </c>
      <c r="E108">
        <f t="shared" si="3"/>
        <v>1</v>
      </c>
      <c r="F108">
        <f t="shared" si="4"/>
        <v>0</v>
      </c>
      <c r="G108">
        <f t="shared" si="5"/>
        <v>0</v>
      </c>
    </row>
    <row r="109" spans="1:7" ht="15.75" customHeight="1" x14ac:dyDescent="0.25">
      <c r="A109" s="33">
        <v>1</v>
      </c>
      <c r="B109" s="34">
        <v>5.45</v>
      </c>
      <c r="C109" s="36">
        <v>52.45</v>
      </c>
      <c r="D109" s="33" t="s">
        <v>8</v>
      </c>
      <c r="E109">
        <f t="shared" si="3"/>
        <v>1</v>
      </c>
      <c r="F109">
        <f t="shared" si="4"/>
        <v>0</v>
      </c>
      <c r="G109">
        <f t="shared" si="5"/>
        <v>0</v>
      </c>
    </row>
    <row r="110" spans="1:7" ht="15.75" customHeight="1" x14ac:dyDescent="0.25">
      <c r="A110" s="33">
        <v>22</v>
      </c>
      <c r="B110" s="34">
        <v>8.7200000000000006</v>
      </c>
      <c r="C110" s="36">
        <v>68.069999999999993</v>
      </c>
      <c r="D110" s="33" t="s">
        <v>8</v>
      </c>
      <c r="E110">
        <f t="shared" si="3"/>
        <v>1</v>
      </c>
      <c r="F110">
        <f t="shared" si="4"/>
        <v>0</v>
      </c>
      <c r="G110">
        <f t="shared" si="5"/>
        <v>0</v>
      </c>
    </row>
    <row r="111" spans="1:7" ht="15.75" customHeight="1" x14ac:dyDescent="0.25">
      <c r="A111" s="33">
        <v>2</v>
      </c>
      <c r="B111" s="34">
        <v>4.6399999999999997</v>
      </c>
      <c r="C111" s="36">
        <v>51.67</v>
      </c>
      <c r="D111" s="33" t="s">
        <v>8</v>
      </c>
      <c r="E111">
        <f t="shared" si="3"/>
        <v>1</v>
      </c>
      <c r="F111">
        <f t="shared" si="4"/>
        <v>0</v>
      </c>
      <c r="G111">
        <f t="shared" si="5"/>
        <v>0</v>
      </c>
    </row>
    <row r="112" spans="1:7" ht="15.75" customHeight="1" x14ac:dyDescent="0.25">
      <c r="A112" s="33">
        <v>18</v>
      </c>
      <c r="B112" s="34">
        <v>5.66</v>
      </c>
      <c r="C112" s="36">
        <v>48.8</v>
      </c>
      <c r="D112" s="33" t="s">
        <v>8</v>
      </c>
      <c r="E112">
        <f t="shared" si="3"/>
        <v>1</v>
      </c>
      <c r="F112">
        <f t="shared" si="4"/>
        <v>0</v>
      </c>
      <c r="G112">
        <f t="shared" si="5"/>
        <v>0</v>
      </c>
    </row>
    <row r="113" spans="1:7" ht="15.75" customHeight="1" x14ac:dyDescent="0.25">
      <c r="A113" s="33">
        <v>36</v>
      </c>
      <c r="B113" s="34">
        <v>9.0299999999999994</v>
      </c>
      <c r="C113" s="36">
        <v>77.069999999999993</v>
      </c>
      <c r="D113" s="33" t="s">
        <v>8</v>
      </c>
      <c r="E113">
        <f t="shared" si="3"/>
        <v>1</v>
      </c>
      <c r="F113">
        <f t="shared" si="4"/>
        <v>0</v>
      </c>
      <c r="G113">
        <f t="shared" si="5"/>
        <v>0</v>
      </c>
    </row>
    <row r="114" spans="1:7" ht="15.75" customHeight="1" x14ac:dyDescent="0.25">
      <c r="A114" s="33">
        <v>20</v>
      </c>
      <c r="B114" s="34">
        <v>5.93</v>
      </c>
      <c r="C114" s="36">
        <v>53.41</v>
      </c>
      <c r="D114" s="33" t="s">
        <v>8</v>
      </c>
      <c r="E114">
        <f t="shared" si="3"/>
        <v>1</v>
      </c>
      <c r="F114">
        <f t="shared" si="4"/>
        <v>0</v>
      </c>
      <c r="G114">
        <f t="shared" si="5"/>
        <v>0</v>
      </c>
    </row>
    <row r="115" spans="1:7" ht="15.75" customHeight="1" x14ac:dyDescent="0.25">
      <c r="A115" s="33">
        <v>20</v>
      </c>
      <c r="B115" s="34">
        <v>9.0299999999999994</v>
      </c>
      <c r="C115" s="36">
        <v>68.260000000000005</v>
      </c>
      <c r="D115" s="33" t="s">
        <v>8</v>
      </c>
      <c r="E115">
        <f t="shared" si="3"/>
        <v>1</v>
      </c>
      <c r="F115">
        <f t="shared" si="4"/>
        <v>0</v>
      </c>
      <c r="G115">
        <f t="shared" si="5"/>
        <v>0</v>
      </c>
    </row>
    <row r="116" spans="1:7" ht="15.75" customHeight="1" x14ac:dyDescent="0.25">
      <c r="A116" s="33">
        <v>48</v>
      </c>
      <c r="B116" s="34">
        <v>9.58</v>
      </c>
      <c r="C116" s="36">
        <v>77.38</v>
      </c>
      <c r="D116" s="33" t="s">
        <v>8</v>
      </c>
      <c r="E116">
        <f t="shared" si="3"/>
        <v>1</v>
      </c>
      <c r="F116">
        <f t="shared" si="4"/>
        <v>0</v>
      </c>
      <c r="G116">
        <f t="shared" si="5"/>
        <v>0</v>
      </c>
    </row>
    <row r="117" spans="1:7" ht="15.75" customHeight="1" x14ac:dyDescent="0.25">
      <c r="A117" s="33">
        <v>27</v>
      </c>
      <c r="B117" s="34">
        <v>6.96</v>
      </c>
      <c r="C117" s="36">
        <v>65.400000000000006</v>
      </c>
      <c r="D117" s="33" t="s">
        <v>8</v>
      </c>
      <c r="E117">
        <f t="shared" si="3"/>
        <v>1</v>
      </c>
      <c r="F117">
        <f t="shared" si="4"/>
        <v>0</v>
      </c>
      <c r="G117">
        <f t="shared" si="5"/>
        <v>0</v>
      </c>
    </row>
    <row r="118" spans="1:7" ht="15.75" customHeight="1" x14ac:dyDescent="0.25">
      <c r="A118" s="33">
        <v>36</v>
      </c>
      <c r="B118" s="34">
        <v>8.49</v>
      </c>
      <c r="C118" s="36">
        <v>62.51</v>
      </c>
      <c r="D118" s="33" t="s">
        <v>8</v>
      </c>
      <c r="E118">
        <f t="shared" si="3"/>
        <v>1</v>
      </c>
      <c r="F118">
        <f t="shared" si="4"/>
        <v>0</v>
      </c>
      <c r="G118">
        <f t="shared" si="5"/>
        <v>0</v>
      </c>
    </row>
    <row r="119" spans="1:7" ht="15.75" customHeight="1" x14ac:dyDescent="0.25">
      <c r="A119" s="33">
        <v>13</v>
      </c>
      <c r="B119" s="34">
        <v>7.11</v>
      </c>
      <c r="C119" s="36">
        <v>55.07</v>
      </c>
      <c r="D119" s="33" t="s">
        <v>8</v>
      </c>
      <c r="E119">
        <f t="shared" si="3"/>
        <v>1</v>
      </c>
      <c r="F119">
        <f t="shared" si="4"/>
        <v>0</v>
      </c>
      <c r="G119">
        <f t="shared" si="5"/>
        <v>0</v>
      </c>
    </row>
    <row r="120" spans="1:7" ht="15.75" customHeight="1" x14ac:dyDescent="0.25">
      <c r="A120" s="33">
        <v>9</v>
      </c>
      <c r="B120" s="34">
        <v>5.67</v>
      </c>
      <c r="C120" s="36">
        <v>50.27</v>
      </c>
      <c r="D120" s="33" t="s">
        <v>8</v>
      </c>
      <c r="E120">
        <f t="shared" si="3"/>
        <v>1</v>
      </c>
      <c r="F120">
        <f t="shared" si="4"/>
        <v>0</v>
      </c>
      <c r="G120">
        <f t="shared" si="5"/>
        <v>0</v>
      </c>
    </row>
    <row r="121" spans="1:7" ht="15.75" customHeight="1" x14ac:dyDescent="0.25">
      <c r="A121" s="33">
        <v>16</v>
      </c>
      <c r="B121" s="34">
        <v>4.34</v>
      </c>
      <c r="C121" s="36">
        <v>35.799999999999997</v>
      </c>
      <c r="D121" s="33" t="s">
        <v>8</v>
      </c>
      <c r="E121">
        <f t="shared" si="3"/>
        <v>1</v>
      </c>
      <c r="F121">
        <f t="shared" si="4"/>
        <v>0</v>
      </c>
      <c r="G121">
        <f t="shared" si="5"/>
        <v>0</v>
      </c>
    </row>
    <row r="122" spans="1:7" ht="15.75" customHeight="1" x14ac:dyDescent="0.25">
      <c r="A122" s="33">
        <v>30</v>
      </c>
      <c r="B122" s="34">
        <v>6.72</v>
      </c>
      <c r="C122" s="36">
        <v>64.55</v>
      </c>
      <c r="D122" s="33" t="s">
        <v>8</v>
      </c>
      <c r="E122">
        <f t="shared" si="3"/>
        <v>1</v>
      </c>
      <c r="F122">
        <f t="shared" si="4"/>
        <v>0</v>
      </c>
      <c r="G122">
        <f t="shared" si="5"/>
        <v>0</v>
      </c>
    </row>
    <row r="123" spans="1:7" ht="15.75" customHeight="1" x14ac:dyDescent="0.25">
      <c r="A123" s="33">
        <v>30</v>
      </c>
      <c r="B123" s="34">
        <v>9.18</v>
      </c>
      <c r="C123" s="36">
        <v>73.87</v>
      </c>
      <c r="D123" s="33" t="s">
        <v>8</v>
      </c>
      <c r="E123">
        <f t="shared" si="3"/>
        <v>1</v>
      </c>
      <c r="F123">
        <f t="shared" si="4"/>
        <v>0</v>
      </c>
      <c r="G123">
        <f t="shared" si="5"/>
        <v>0</v>
      </c>
    </row>
    <row r="124" spans="1:7" ht="15.75" customHeight="1" x14ac:dyDescent="0.25">
      <c r="A124" s="33">
        <v>54</v>
      </c>
      <c r="B124" s="34">
        <v>4.32</v>
      </c>
      <c r="C124" s="36">
        <v>41.82</v>
      </c>
      <c r="D124" s="33" t="s">
        <v>8</v>
      </c>
      <c r="E124">
        <f t="shared" si="3"/>
        <v>1</v>
      </c>
      <c r="F124">
        <f t="shared" si="4"/>
        <v>0</v>
      </c>
      <c r="G124">
        <f t="shared" si="5"/>
        <v>0</v>
      </c>
    </row>
    <row r="125" spans="1:7" ht="15.75" customHeight="1" x14ac:dyDescent="0.25">
      <c r="A125" s="33">
        <v>38</v>
      </c>
      <c r="B125" s="34">
        <v>4.28</v>
      </c>
      <c r="C125" s="36">
        <v>43.18</v>
      </c>
      <c r="D125" s="33" t="s">
        <v>8</v>
      </c>
      <c r="E125">
        <f t="shared" si="3"/>
        <v>1</v>
      </c>
      <c r="F125">
        <f t="shared" si="4"/>
        <v>0</v>
      </c>
      <c r="G125">
        <f t="shared" si="5"/>
        <v>0</v>
      </c>
    </row>
    <row r="126" spans="1:7" ht="15.75" customHeight="1" x14ac:dyDescent="0.25">
      <c r="A126" s="33">
        <v>19</v>
      </c>
      <c r="B126" s="34">
        <v>5.0999999999999996</v>
      </c>
      <c r="C126" s="36">
        <v>47.22</v>
      </c>
      <c r="D126" s="33" t="s">
        <v>8</v>
      </c>
      <c r="E126">
        <f t="shared" si="3"/>
        <v>1</v>
      </c>
      <c r="F126">
        <f t="shared" si="4"/>
        <v>0</v>
      </c>
      <c r="G126">
        <f t="shared" si="5"/>
        <v>0</v>
      </c>
    </row>
    <row r="127" spans="1:7" ht="15.75" customHeight="1" x14ac:dyDescent="0.25">
      <c r="A127" s="33">
        <v>26</v>
      </c>
      <c r="B127" s="34">
        <v>6.23</v>
      </c>
      <c r="C127" s="36">
        <v>53.91</v>
      </c>
      <c r="D127" s="33" t="s">
        <v>8</v>
      </c>
      <c r="E127">
        <f t="shared" si="3"/>
        <v>1</v>
      </c>
      <c r="F127">
        <f t="shared" si="4"/>
        <v>0</v>
      </c>
      <c r="G127">
        <f t="shared" si="5"/>
        <v>0</v>
      </c>
    </row>
    <row r="128" spans="1:7" ht="15.75" customHeight="1" x14ac:dyDescent="0.25">
      <c r="A128" s="33">
        <v>30</v>
      </c>
      <c r="B128" s="34">
        <v>6.45</v>
      </c>
      <c r="C128" s="36">
        <v>59.74</v>
      </c>
      <c r="D128" s="33" t="s">
        <v>8</v>
      </c>
      <c r="E128">
        <f t="shared" si="3"/>
        <v>1</v>
      </c>
      <c r="F128">
        <f t="shared" si="4"/>
        <v>0</v>
      </c>
      <c r="G128">
        <f t="shared" si="5"/>
        <v>0</v>
      </c>
    </row>
    <row r="129" spans="1:7" ht="15.75" customHeight="1" x14ac:dyDescent="0.25">
      <c r="A129" s="33">
        <v>31</v>
      </c>
      <c r="B129" s="34">
        <v>9.73</v>
      </c>
      <c r="C129" s="36">
        <v>74.14</v>
      </c>
      <c r="D129" s="33" t="s">
        <v>8</v>
      </c>
      <c r="E129">
        <f t="shared" si="3"/>
        <v>1</v>
      </c>
      <c r="F129">
        <f t="shared" si="4"/>
        <v>0</v>
      </c>
      <c r="G129">
        <f t="shared" si="5"/>
        <v>0</v>
      </c>
    </row>
    <row r="130" spans="1:7" ht="15.75" customHeight="1" x14ac:dyDescent="0.25">
      <c r="A130" s="33">
        <v>52</v>
      </c>
      <c r="B130" s="34">
        <v>4.1399999999999997</v>
      </c>
      <c r="C130" s="36">
        <v>36.58</v>
      </c>
      <c r="D130" s="33" t="s">
        <v>9</v>
      </c>
      <c r="E130">
        <f t="shared" ref="E130:E193" si="6">IF(D130="bien de conso.",1,0)</f>
        <v>0</v>
      </c>
      <c r="F130">
        <f t="shared" ref="F130:F193" si="7">IF($D130="nourriture",1,0)</f>
        <v>1</v>
      </c>
      <c r="G130">
        <f t="shared" ref="G130:G193" si="8">IF($D130="high tech",1,0)</f>
        <v>0</v>
      </c>
    </row>
    <row r="131" spans="1:7" ht="15.75" customHeight="1" x14ac:dyDescent="0.25">
      <c r="A131" s="33">
        <v>24</v>
      </c>
      <c r="B131" s="34">
        <v>9.2799999999999994</v>
      </c>
      <c r="C131" s="36">
        <v>76.55</v>
      </c>
      <c r="D131" s="33" t="s">
        <v>8</v>
      </c>
      <c r="E131">
        <f t="shared" si="6"/>
        <v>1</v>
      </c>
      <c r="F131">
        <f t="shared" si="7"/>
        <v>0</v>
      </c>
      <c r="G131">
        <f t="shared" si="8"/>
        <v>0</v>
      </c>
    </row>
    <row r="132" spans="1:7" ht="15.75" customHeight="1" x14ac:dyDescent="0.25">
      <c r="A132" s="33">
        <v>10</v>
      </c>
      <c r="B132" s="34">
        <v>6.76</v>
      </c>
      <c r="C132" s="36">
        <v>37.07</v>
      </c>
      <c r="D132" s="33" t="s">
        <v>8</v>
      </c>
      <c r="E132">
        <f t="shared" si="6"/>
        <v>1</v>
      </c>
      <c r="F132">
        <f t="shared" si="7"/>
        <v>0</v>
      </c>
      <c r="G132">
        <f t="shared" si="8"/>
        <v>0</v>
      </c>
    </row>
    <row r="133" spans="1:7" ht="15.75" customHeight="1" x14ac:dyDescent="0.25">
      <c r="A133" s="33">
        <v>25</v>
      </c>
      <c r="B133" s="34">
        <v>6.16</v>
      </c>
      <c r="C133" s="36">
        <v>71.33</v>
      </c>
      <c r="D133" s="33" t="s">
        <v>8</v>
      </c>
      <c r="E133">
        <f t="shared" si="6"/>
        <v>1</v>
      </c>
      <c r="F133">
        <f t="shared" si="7"/>
        <v>0</v>
      </c>
      <c r="G133">
        <f t="shared" si="8"/>
        <v>0</v>
      </c>
    </row>
    <row r="134" spans="1:7" ht="15.75" customHeight="1" x14ac:dyDescent="0.25">
      <c r="A134" s="33">
        <v>38</v>
      </c>
      <c r="B134" s="34">
        <v>8.2200000000000006</v>
      </c>
      <c r="C134" s="36">
        <v>80.31</v>
      </c>
      <c r="D134" s="33" t="s">
        <v>8</v>
      </c>
      <c r="E134">
        <f t="shared" si="6"/>
        <v>1</v>
      </c>
      <c r="F134">
        <f t="shared" si="7"/>
        <v>0</v>
      </c>
      <c r="G134">
        <f t="shared" si="8"/>
        <v>0</v>
      </c>
    </row>
    <row r="135" spans="1:7" ht="15.75" customHeight="1" x14ac:dyDescent="0.25">
      <c r="A135" s="33">
        <v>13</v>
      </c>
      <c r="B135" s="34">
        <v>6.16</v>
      </c>
      <c r="C135" s="36">
        <v>70.489999999999995</v>
      </c>
      <c r="D135" s="33" t="s">
        <v>8</v>
      </c>
      <c r="E135">
        <f t="shared" si="6"/>
        <v>1</v>
      </c>
      <c r="F135">
        <f t="shared" si="7"/>
        <v>0</v>
      </c>
      <c r="G135">
        <f t="shared" si="8"/>
        <v>0</v>
      </c>
    </row>
    <row r="136" spans="1:7" ht="15.75" customHeight="1" x14ac:dyDescent="0.25">
      <c r="A136" s="33">
        <v>31</v>
      </c>
      <c r="B136" s="34">
        <v>7.22</v>
      </c>
      <c r="C136" s="36">
        <v>28.75</v>
      </c>
      <c r="D136" s="33" t="s">
        <v>8</v>
      </c>
      <c r="E136">
        <f t="shared" si="6"/>
        <v>1</v>
      </c>
      <c r="F136">
        <f t="shared" si="7"/>
        <v>0</v>
      </c>
      <c r="G136">
        <f t="shared" si="8"/>
        <v>0</v>
      </c>
    </row>
    <row r="137" spans="1:7" ht="15.75" customHeight="1" x14ac:dyDescent="0.25">
      <c r="A137" s="33">
        <v>37</v>
      </c>
      <c r="B137" s="34">
        <v>8.6</v>
      </c>
      <c r="C137" s="36">
        <v>43.95</v>
      </c>
      <c r="D137" s="33" t="s">
        <v>8</v>
      </c>
      <c r="E137">
        <f t="shared" si="6"/>
        <v>1</v>
      </c>
      <c r="F137">
        <f t="shared" si="7"/>
        <v>0</v>
      </c>
      <c r="G137">
        <f t="shared" si="8"/>
        <v>0</v>
      </c>
    </row>
    <row r="138" spans="1:7" ht="15.75" customHeight="1" x14ac:dyDescent="0.25">
      <c r="A138" s="33">
        <v>14</v>
      </c>
      <c r="B138" s="34">
        <v>7.95</v>
      </c>
      <c r="C138" s="36">
        <v>85.03</v>
      </c>
      <c r="D138" s="33" t="s">
        <v>8</v>
      </c>
      <c r="E138">
        <f t="shared" si="6"/>
        <v>1</v>
      </c>
      <c r="F138">
        <f t="shared" si="7"/>
        <v>0</v>
      </c>
      <c r="G138">
        <f t="shared" si="8"/>
        <v>0</v>
      </c>
    </row>
    <row r="139" spans="1:7" ht="15.75" customHeight="1" x14ac:dyDescent="0.25">
      <c r="A139" s="33">
        <v>7</v>
      </c>
      <c r="B139" s="34">
        <v>4.4400000000000004</v>
      </c>
      <c r="C139" s="36">
        <v>76.47</v>
      </c>
      <c r="D139" s="33" t="s">
        <v>8</v>
      </c>
      <c r="E139">
        <f t="shared" si="6"/>
        <v>1</v>
      </c>
      <c r="F139">
        <f t="shared" si="7"/>
        <v>0</v>
      </c>
      <c r="G139">
        <f t="shared" si="8"/>
        <v>0</v>
      </c>
    </row>
    <row r="140" spans="1:7" ht="15.75" customHeight="1" x14ac:dyDescent="0.25">
      <c r="A140" s="33">
        <v>10</v>
      </c>
      <c r="B140" s="34">
        <v>9.75</v>
      </c>
      <c r="C140" s="36">
        <v>51.12</v>
      </c>
      <c r="D140" s="33" t="s">
        <v>8</v>
      </c>
      <c r="E140">
        <f t="shared" si="6"/>
        <v>1</v>
      </c>
      <c r="F140">
        <f t="shared" si="7"/>
        <v>0</v>
      </c>
      <c r="G140">
        <f t="shared" si="8"/>
        <v>0</v>
      </c>
    </row>
    <row r="141" spans="1:7" ht="15.75" customHeight="1" x14ac:dyDescent="0.25">
      <c r="A141" s="33">
        <v>12</v>
      </c>
      <c r="B141" s="34">
        <v>9.07</v>
      </c>
      <c r="C141" s="36">
        <v>68.02</v>
      </c>
      <c r="D141" s="33" t="s">
        <v>8</v>
      </c>
      <c r="E141">
        <f t="shared" si="6"/>
        <v>1</v>
      </c>
      <c r="F141">
        <f t="shared" si="7"/>
        <v>0</v>
      </c>
      <c r="G141">
        <f t="shared" si="8"/>
        <v>0</v>
      </c>
    </row>
    <row r="142" spans="1:7" ht="15.75" customHeight="1" x14ac:dyDescent="0.25">
      <c r="A142" s="33">
        <v>34</v>
      </c>
      <c r="B142" s="34">
        <v>4.93</v>
      </c>
      <c r="C142" s="36">
        <v>65.16</v>
      </c>
      <c r="D142" s="33" t="s">
        <v>8</v>
      </c>
      <c r="E142">
        <f t="shared" si="6"/>
        <v>1</v>
      </c>
      <c r="F142">
        <f t="shared" si="7"/>
        <v>0</v>
      </c>
      <c r="G142">
        <f t="shared" si="8"/>
        <v>0</v>
      </c>
    </row>
    <row r="143" spans="1:7" ht="15.75" customHeight="1" x14ac:dyDescent="0.25">
      <c r="A143" s="33">
        <v>26</v>
      </c>
      <c r="B143" s="34">
        <v>4.76</v>
      </c>
      <c r="C143" s="36">
        <v>58</v>
      </c>
      <c r="D143" s="33" t="s">
        <v>8</v>
      </c>
      <c r="E143">
        <f t="shared" si="6"/>
        <v>1</v>
      </c>
      <c r="F143">
        <f t="shared" si="7"/>
        <v>0</v>
      </c>
      <c r="G143">
        <f t="shared" si="8"/>
        <v>0</v>
      </c>
    </row>
    <row r="144" spans="1:7" ht="15.75" customHeight="1" x14ac:dyDescent="0.25">
      <c r="A144" s="33">
        <v>29</v>
      </c>
      <c r="B144" s="34">
        <v>5.96</v>
      </c>
      <c r="C144" s="36">
        <v>55.1</v>
      </c>
      <c r="D144" s="33" t="s">
        <v>8</v>
      </c>
      <c r="E144">
        <f t="shared" si="6"/>
        <v>1</v>
      </c>
      <c r="F144">
        <f t="shared" si="7"/>
        <v>0</v>
      </c>
      <c r="G144">
        <f t="shared" si="8"/>
        <v>0</v>
      </c>
    </row>
    <row r="145" spans="1:7" ht="15.75" customHeight="1" x14ac:dyDescent="0.25">
      <c r="A145" s="33">
        <v>23</v>
      </c>
      <c r="B145" s="34">
        <v>4.54</v>
      </c>
      <c r="C145" s="36">
        <v>21.1</v>
      </c>
      <c r="D145" s="33" t="s">
        <v>8</v>
      </c>
      <c r="E145">
        <f t="shared" si="6"/>
        <v>1</v>
      </c>
      <c r="F145">
        <f t="shared" si="7"/>
        <v>0</v>
      </c>
      <c r="G145">
        <f t="shared" si="8"/>
        <v>0</v>
      </c>
    </row>
    <row r="146" spans="1:7" ht="15.75" customHeight="1" x14ac:dyDescent="0.25">
      <c r="A146" s="33">
        <v>34</v>
      </c>
      <c r="B146" s="34">
        <v>6.12</v>
      </c>
      <c r="C146" s="36">
        <v>49.54</v>
      </c>
      <c r="D146" s="33" t="s">
        <v>8</v>
      </c>
      <c r="E146">
        <f t="shared" si="6"/>
        <v>1</v>
      </c>
      <c r="F146">
        <f t="shared" si="7"/>
        <v>0</v>
      </c>
      <c r="G146">
        <f t="shared" si="8"/>
        <v>0</v>
      </c>
    </row>
    <row r="147" spans="1:7" ht="15.75" customHeight="1" x14ac:dyDescent="0.25">
      <c r="A147" s="33">
        <v>17</v>
      </c>
      <c r="B147" s="34">
        <v>5.35</v>
      </c>
      <c r="C147" s="36">
        <v>40.880000000000003</v>
      </c>
      <c r="D147" s="33" t="s">
        <v>8</v>
      </c>
      <c r="E147">
        <f t="shared" si="6"/>
        <v>1</v>
      </c>
      <c r="F147">
        <f t="shared" si="7"/>
        <v>0</v>
      </c>
      <c r="G147">
        <f t="shared" si="8"/>
        <v>0</v>
      </c>
    </row>
    <row r="148" spans="1:7" ht="15.75" customHeight="1" x14ac:dyDescent="0.25">
      <c r="A148" s="33">
        <v>38</v>
      </c>
      <c r="B148" s="34">
        <v>8.39</v>
      </c>
      <c r="C148" s="36">
        <v>27.64</v>
      </c>
      <c r="D148" s="33" t="s">
        <v>8</v>
      </c>
      <c r="E148">
        <f t="shared" si="6"/>
        <v>1</v>
      </c>
      <c r="F148">
        <f t="shared" si="7"/>
        <v>0</v>
      </c>
      <c r="G148">
        <f t="shared" si="8"/>
        <v>0</v>
      </c>
    </row>
    <row r="149" spans="1:7" ht="15.75" customHeight="1" x14ac:dyDescent="0.25">
      <c r="A149" s="33">
        <v>36</v>
      </c>
      <c r="B149" s="34">
        <v>9.35</v>
      </c>
      <c r="C149" s="36">
        <v>96.31</v>
      </c>
      <c r="D149" s="33" t="s">
        <v>8</v>
      </c>
      <c r="E149">
        <f t="shared" si="6"/>
        <v>1</v>
      </c>
      <c r="F149">
        <f t="shared" si="7"/>
        <v>0</v>
      </c>
      <c r="G149">
        <f t="shared" si="8"/>
        <v>0</v>
      </c>
    </row>
    <row r="150" spans="1:7" ht="15.75" customHeight="1" x14ac:dyDescent="0.25">
      <c r="A150" s="33">
        <v>24</v>
      </c>
      <c r="B150" s="34">
        <v>5.0599999999999996</v>
      </c>
      <c r="C150" s="36">
        <v>96.03</v>
      </c>
      <c r="D150" s="33" t="s">
        <v>8</v>
      </c>
      <c r="E150">
        <f t="shared" si="6"/>
        <v>1</v>
      </c>
      <c r="F150">
        <f t="shared" si="7"/>
        <v>0</v>
      </c>
      <c r="G150">
        <f t="shared" si="8"/>
        <v>0</v>
      </c>
    </row>
    <row r="151" spans="1:7" ht="15.75" customHeight="1" x14ac:dyDescent="0.25">
      <c r="A151" s="33">
        <v>14</v>
      </c>
      <c r="B151" s="34">
        <v>7.18</v>
      </c>
      <c r="C151" s="36">
        <v>77.290000000000006</v>
      </c>
      <c r="D151" s="33" t="s">
        <v>8</v>
      </c>
      <c r="E151">
        <f t="shared" si="6"/>
        <v>1</v>
      </c>
      <c r="F151">
        <f t="shared" si="7"/>
        <v>0</v>
      </c>
      <c r="G151">
        <f t="shared" si="8"/>
        <v>0</v>
      </c>
    </row>
    <row r="152" spans="1:7" ht="15.75" customHeight="1" x14ac:dyDescent="0.25">
      <c r="A152" s="33">
        <v>46</v>
      </c>
      <c r="B152" s="34">
        <v>7.22</v>
      </c>
      <c r="C152" s="36">
        <v>61.92</v>
      </c>
      <c r="D152" s="33" t="s">
        <v>8</v>
      </c>
      <c r="E152">
        <f t="shared" si="6"/>
        <v>1</v>
      </c>
      <c r="F152">
        <f t="shared" si="7"/>
        <v>0</v>
      </c>
      <c r="G152">
        <f t="shared" si="8"/>
        <v>0</v>
      </c>
    </row>
    <row r="153" spans="1:7" ht="15.75" customHeight="1" x14ac:dyDescent="0.25">
      <c r="A153" s="33">
        <v>43</v>
      </c>
      <c r="B153" s="34">
        <v>9.27</v>
      </c>
      <c r="C153" s="36">
        <v>63.57</v>
      </c>
      <c r="D153" s="33" t="s">
        <v>8</v>
      </c>
      <c r="E153">
        <f t="shared" si="6"/>
        <v>1</v>
      </c>
      <c r="F153">
        <f t="shared" si="7"/>
        <v>0</v>
      </c>
      <c r="G153">
        <f t="shared" si="8"/>
        <v>0</v>
      </c>
    </row>
    <row r="154" spans="1:7" ht="15.75" customHeight="1" x14ac:dyDescent="0.25">
      <c r="A154" s="33">
        <v>44</v>
      </c>
      <c r="B154" s="34">
        <v>9.9600000000000009</v>
      </c>
      <c r="C154" s="36">
        <v>78.3</v>
      </c>
      <c r="D154" s="33" t="s">
        <v>8</v>
      </c>
      <c r="E154">
        <f t="shared" si="6"/>
        <v>1</v>
      </c>
      <c r="F154">
        <f t="shared" si="7"/>
        <v>0</v>
      </c>
      <c r="G154">
        <f t="shared" si="8"/>
        <v>0</v>
      </c>
    </row>
    <row r="155" spans="1:7" ht="15.75" customHeight="1" x14ac:dyDescent="0.25">
      <c r="A155" s="33">
        <v>43</v>
      </c>
      <c r="B155" s="34">
        <v>4.68</v>
      </c>
      <c r="C155" s="36">
        <v>50.07</v>
      </c>
      <c r="D155" s="33" t="s">
        <v>8</v>
      </c>
      <c r="E155">
        <f t="shared" si="6"/>
        <v>1</v>
      </c>
      <c r="F155">
        <f t="shared" si="7"/>
        <v>0</v>
      </c>
      <c r="G155">
        <f t="shared" si="8"/>
        <v>0</v>
      </c>
    </row>
    <row r="156" spans="1:7" ht="15.75" customHeight="1" x14ac:dyDescent="0.25">
      <c r="A156" s="33">
        <v>34</v>
      </c>
      <c r="B156" s="34">
        <v>5.15</v>
      </c>
      <c r="C156" s="36">
        <v>51.35</v>
      </c>
      <c r="D156" s="33" t="s">
        <v>8</v>
      </c>
      <c r="E156">
        <f t="shared" si="6"/>
        <v>1</v>
      </c>
      <c r="F156">
        <f t="shared" si="7"/>
        <v>0</v>
      </c>
      <c r="G156">
        <f t="shared" si="8"/>
        <v>0</v>
      </c>
    </row>
    <row r="157" spans="1:7" ht="15.75" customHeight="1" x14ac:dyDescent="0.25">
      <c r="A157" s="33">
        <v>16</v>
      </c>
      <c r="B157" s="34">
        <v>9.65</v>
      </c>
      <c r="C157" s="36">
        <v>53.41</v>
      </c>
      <c r="D157" s="33" t="s">
        <v>8</v>
      </c>
      <c r="E157">
        <f t="shared" si="6"/>
        <v>1</v>
      </c>
      <c r="F157">
        <f t="shared" si="7"/>
        <v>0</v>
      </c>
      <c r="G157">
        <f t="shared" si="8"/>
        <v>0</v>
      </c>
    </row>
    <row r="158" spans="1:7" ht="15.75" customHeight="1" x14ac:dyDescent="0.25">
      <c r="A158" s="33">
        <v>30</v>
      </c>
      <c r="B158" s="34">
        <v>8.61</v>
      </c>
      <c r="C158" s="36">
        <v>52.91</v>
      </c>
      <c r="D158" s="33" t="s">
        <v>8</v>
      </c>
      <c r="E158">
        <f t="shared" si="6"/>
        <v>1</v>
      </c>
      <c r="F158">
        <f t="shared" si="7"/>
        <v>0</v>
      </c>
      <c r="G158">
        <f t="shared" si="8"/>
        <v>0</v>
      </c>
    </row>
    <row r="159" spans="1:7" ht="15.75" customHeight="1" x14ac:dyDescent="0.25">
      <c r="A159" s="33">
        <v>26</v>
      </c>
      <c r="B159" s="34">
        <v>6.21</v>
      </c>
      <c r="C159" s="36">
        <v>65.28</v>
      </c>
      <c r="D159" s="33" t="s">
        <v>8</v>
      </c>
      <c r="E159">
        <f t="shared" si="6"/>
        <v>1</v>
      </c>
      <c r="F159">
        <f t="shared" si="7"/>
        <v>0</v>
      </c>
      <c r="G159">
        <f t="shared" si="8"/>
        <v>0</v>
      </c>
    </row>
    <row r="160" spans="1:7" ht="15.75" customHeight="1" x14ac:dyDescent="0.25">
      <c r="A160" s="33">
        <v>35</v>
      </c>
      <c r="B160" s="34">
        <v>8.3800000000000008</v>
      </c>
      <c r="C160" s="36">
        <v>100.78</v>
      </c>
      <c r="D160" s="33" t="s">
        <v>8</v>
      </c>
      <c r="E160">
        <f t="shared" si="6"/>
        <v>1</v>
      </c>
      <c r="F160">
        <f t="shared" si="7"/>
        <v>0</v>
      </c>
      <c r="G160">
        <f t="shared" si="8"/>
        <v>0</v>
      </c>
    </row>
    <row r="161" spans="1:7" ht="15.75" customHeight="1" x14ac:dyDescent="0.25">
      <c r="A161" s="33">
        <v>51</v>
      </c>
      <c r="B161" s="34">
        <v>6.86</v>
      </c>
      <c r="C161" s="36">
        <v>74.760000000000005</v>
      </c>
      <c r="D161" s="33" t="s">
        <v>8</v>
      </c>
      <c r="E161">
        <f t="shared" si="6"/>
        <v>1</v>
      </c>
      <c r="F161">
        <f t="shared" si="7"/>
        <v>0</v>
      </c>
      <c r="G161">
        <f t="shared" si="8"/>
        <v>0</v>
      </c>
    </row>
    <row r="162" spans="1:7" ht="15.75" customHeight="1" x14ac:dyDescent="0.25">
      <c r="A162" s="33">
        <v>27</v>
      </c>
      <c r="B162" s="34">
        <v>7.7</v>
      </c>
      <c r="C162" s="36">
        <v>53.96</v>
      </c>
      <c r="D162" s="33" t="s">
        <v>8</v>
      </c>
      <c r="E162">
        <f t="shared" si="6"/>
        <v>1</v>
      </c>
      <c r="F162">
        <f t="shared" si="7"/>
        <v>0</v>
      </c>
      <c r="G162">
        <f t="shared" si="8"/>
        <v>0</v>
      </c>
    </row>
    <row r="163" spans="1:7" ht="15.75" customHeight="1" x14ac:dyDescent="0.25">
      <c r="A163" s="33">
        <v>39</v>
      </c>
      <c r="B163" s="34">
        <v>8.02</v>
      </c>
      <c r="C163" s="36">
        <v>62.53</v>
      </c>
      <c r="D163" s="33" t="s">
        <v>8</v>
      </c>
      <c r="E163">
        <f t="shared" si="6"/>
        <v>1</v>
      </c>
      <c r="F163">
        <f t="shared" si="7"/>
        <v>0</v>
      </c>
      <c r="G163">
        <f t="shared" si="8"/>
        <v>0</v>
      </c>
    </row>
    <row r="164" spans="1:7" ht="15.75" customHeight="1" x14ac:dyDescent="0.25">
      <c r="A164" s="33">
        <v>26</v>
      </c>
      <c r="B164" s="34">
        <v>9.2100000000000009</v>
      </c>
      <c r="C164" s="36">
        <v>83.15</v>
      </c>
      <c r="D164" s="33" t="s">
        <v>8</v>
      </c>
      <c r="E164">
        <f t="shared" si="6"/>
        <v>1</v>
      </c>
      <c r="F164">
        <f t="shared" si="7"/>
        <v>0</v>
      </c>
      <c r="G164">
        <f t="shared" si="8"/>
        <v>0</v>
      </c>
    </row>
    <row r="165" spans="1:7" ht="15.75" customHeight="1" x14ac:dyDescent="0.25">
      <c r="A165" s="33">
        <v>13</v>
      </c>
      <c r="B165" s="34">
        <v>8.24</v>
      </c>
      <c r="C165" s="36">
        <v>76.959999999999994</v>
      </c>
      <c r="D165" s="33" t="s">
        <v>8</v>
      </c>
      <c r="E165">
        <f t="shared" si="6"/>
        <v>1</v>
      </c>
      <c r="F165">
        <f t="shared" si="7"/>
        <v>0</v>
      </c>
      <c r="G165">
        <f t="shared" si="8"/>
        <v>0</v>
      </c>
    </row>
    <row r="166" spans="1:7" ht="15.75" customHeight="1" x14ac:dyDescent="0.25">
      <c r="A166" s="33">
        <v>27</v>
      </c>
      <c r="B166" s="34">
        <v>6.63</v>
      </c>
      <c r="C166" s="36">
        <v>54.57</v>
      </c>
      <c r="D166" s="33" t="s">
        <v>8</v>
      </c>
      <c r="E166">
        <f t="shared" si="6"/>
        <v>1</v>
      </c>
      <c r="F166">
        <f t="shared" si="7"/>
        <v>0</v>
      </c>
      <c r="G166">
        <f t="shared" si="8"/>
        <v>0</v>
      </c>
    </row>
    <row r="167" spans="1:7" ht="15.75" customHeight="1" x14ac:dyDescent="0.25">
      <c r="A167" s="33">
        <v>16</v>
      </c>
      <c r="B167" s="34">
        <v>8.2899999999999991</v>
      </c>
      <c r="C167" s="36">
        <v>115.29</v>
      </c>
      <c r="D167" s="33" t="s">
        <v>8</v>
      </c>
      <c r="E167">
        <f t="shared" si="6"/>
        <v>1</v>
      </c>
      <c r="F167">
        <f t="shared" si="7"/>
        <v>0</v>
      </c>
      <c r="G167">
        <f t="shared" si="8"/>
        <v>0</v>
      </c>
    </row>
    <row r="168" spans="1:7" ht="15.75" customHeight="1" x14ac:dyDescent="0.25">
      <c r="A168" s="33">
        <v>23</v>
      </c>
      <c r="B168" s="34">
        <v>8.65</v>
      </c>
      <c r="C168" s="36">
        <v>88.43</v>
      </c>
      <c r="D168" s="33" t="s">
        <v>8</v>
      </c>
      <c r="E168">
        <f t="shared" si="6"/>
        <v>1</v>
      </c>
      <c r="F168">
        <f t="shared" si="7"/>
        <v>0</v>
      </c>
      <c r="G168">
        <f t="shared" si="8"/>
        <v>0</v>
      </c>
    </row>
    <row r="169" spans="1:7" ht="15.75" customHeight="1" x14ac:dyDescent="0.25">
      <c r="A169" s="33">
        <v>47</v>
      </c>
      <c r="B169" s="34">
        <v>9.2100000000000009</v>
      </c>
      <c r="C169" s="36">
        <v>62.31</v>
      </c>
      <c r="D169" s="33" t="s">
        <v>8</v>
      </c>
      <c r="E169">
        <f t="shared" si="6"/>
        <v>1</v>
      </c>
      <c r="F169">
        <f t="shared" si="7"/>
        <v>0</v>
      </c>
      <c r="G169">
        <f t="shared" si="8"/>
        <v>0</v>
      </c>
    </row>
    <row r="170" spans="1:7" ht="15.75" customHeight="1" x14ac:dyDescent="0.25">
      <c r="A170" s="33">
        <v>17</v>
      </c>
      <c r="B170" s="34">
        <v>9.0500000000000007</v>
      </c>
      <c r="C170" s="36">
        <v>29.32</v>
      </c>
      <c r="D170" s="33" t="s">
        <v>8</v>
      </c>
      <c r="E170">
        <f t="shared" si="6"/>
        <v>1</v>
      </c>
      <c r="F170">
        <f t="shared" si="7"/>
        <v>0</v>
      </c>
      <c r="G170">
        <f t="shared" si="8"/>
        <v>0</v>
      </c>
    </row>
    <row r="171" spans="1:7" ht="15.75" customHeight="1" x14ac:dyDescent="0.25">
      <c r="A171" s="33">
        <v>3</v>
      </c>
      <c r="B171" s="34">
        <v>7.71</v>
      </c>
      <c r="C171" s="36">
        <v>67.36</v>
      </c>
      <c r="D171" s="33" t="s">
        <v>8</v>
      </c>
      <c r="E171">
        <f t="shared" si="6"/>
        <v>1</v>
      </c>
      <c r="F171">
        <f t="shared" si="7"/>
        <v>0</v>
      </c>
      <c r="G171">
        <f t="shared" si="8"/>
        <v>0</v>
      </c>
    </row>
    <row r="172" spans="1:7" ht="15.75" customHeight="1" x14ac:dyDescent="0.25">
      <c r="A172" s="33">
        <v>38</v>
      </c>
      <c r="B172" s="34">
        <v>8.75</v>
      </c>
      <c r="C172" s="36">
        <v>88.53</v>
      </c>
      <c r="D172" s="33" t="s">
        <v>8</v>
      </c>
      <c r="E172">
        <f t="shared" si="6"/>
        <v>1</v>
      </c>
      <c r="F172">
        <f t="shared" si="7"/>
        <v>0</v>
      </c>
      <c r="G172">
        <f t="shared" si="8"/>
        <v>0</v>
      </c>
    </row>
    <row r="173" spans="1:7" ht="15.75" customHeight="1" x14ac:dyDescent="0.25">
      <c r="A173" s="33">
        <v>28</v>
      </c>
      <c r="B173" s="34">
        <v>7.97</v>
      </c>
      <c r="C173" s="36">
        <v>52.97</v>
      </c>
      <c r="D173" s="33" t="s">
        <v>8</v>
      </c>
      <c r="E173">
        <f t="shared" si="6"/>
        <v>1</v>
      </c>
      <c r="F173">
        <f t="shared" si="7"/>
        <v>0</v>
      </c>
      <c r="G173">
        <f t="shared" si="8"/>
        <v>0</v>
      </c>
    </row>
    <row r="174" spans="1:7" ht="15.75" customHeight="1" x14ac:dyDescent="0.25">
      <c r="A174" s="33">
        <v>47</v>
      </c>
      <c r="B174" s="34">
        <v>7.59</v>
      </c>
      <c r="C174" s="36">
        <v>83.57</v>
      </c>
      <c r="D174" s="33" t="s">
        <v>8</v>
      </c>
      <c r="E174">
        <f t="shared" si="6"/>
        <v>1</v>
      </c>
      <c r="F174">
        <f t="shared" si="7"/>
        <v>0</v>
      </c>
      <c r="G174">
        <f t="shared" si="8"/>
        <v>0</v>
      </c>
    </row>
    <row r="175" spans="1:7" ht="15.75" customHeight="1" x14ac:dyDescent="0.25">
      <c r="A175" s="33">
        <v>23</v>
      </c>
      <c r="B175" s="34">
        <v>8.18</v>
      </c>
      <c r="C175" s="36">
        <v>92.48</v>
      </c>
      <c r="D175" s="33" t="s">
        <v>8</v>
      </c>
      <c r="E175">
        <f t="shared" si="6"/>
        <v>1</v>
      </c>
      <c r="F175">
        <f t="shared" si="7"/>
        <v>0</v>
      </c>
      <c r="G175">
        <f t="shared" si="8"/>
        <v>0</v>
      </c>
    </row>
    <row r="176" spans="1:7" ht="15.75" customHeight="1" x14ac:dyDescent="0.25">
      <c r="A176" s="33">
        <v>27</v>
      </c>
      <c r="B176" s="34">
        <v>9.25</v>
      </c>
      <c r="C176" s="36">
        <v>66.709999999999994</v>
      </c>
      <c r="D176" s="33" t="s">
        <v>8</v>
      </c>
      <c r="E176">
        <f t="shared" si="6"/>
        <v>1</v>
      </c>
      <c r="F176">
        <f t="shared" si="7"/>
        <v>0</v>
      </c>
      <c r="G176">
        <f t="shared" si="8"/>
        <v>0</v>
      </c>
    </row>
    <row r="177" spans="1:7" ht="15.75" customHeight="1" x14ac:dyDescent="0.25">
      <c r="A177" s="33">
        <v>30</v>
      </c>
      <c r="B177" s="34">
        <v>4.54</v>
      </c>
      <c r="C177" s="36">
        <v>42.01</v>
      </c>
      <c r="D177" s="33" t="s">
        <v>8</v>
      </c>
      <c r="E177">
        <f t="shared" si="6"/>
        <v>1</v>
      </c>
      <c r="F177">
        <f t="shared" si="7"/>
        <v>0</v>
      </c>
      <c r="G177">
        <f t="shared" si="8"/>
        <v>0</v>
      </c>
    </row>
    <row r="178" spans="1:7" ht="15.75" customHeight="1" x14ac:dyDescent="0.25">
      <c r="A178" s="33">
        <v>35</v>
      </c>
      <c r="B178" s="34">
        <v>4.68</v>
      </c>
      <c r="C178" s="36">
        <v>49.81</v>
      </c>
      <c r="D178" s="33" t="s">
        <v>8</v>
      </c>
      <c r="E178">
        <f t="shared" si="6"/>
        <v>1</v>
      </c>
      <c r="F178">
        <f t="shared" si="7"/>
        <v>0</v>
      </c>
      <c r="G178">
        <f t="shared" si="8"/>
        <v>0</v>
      </c>
    </row>
    <row r="179" spans="1:7" ht="15.75" customHeight="1" x14ac:dyDescent="0.25">
      <c r="A179" s="33">
        <v>25</v>
      </c>
      <c r="B179" s="34">
        <v>8.39</v>
      </c>
      <c r="C179" s="36">
        <v>56.55</v>
      </c>
      <c r="D179" s="33" t="s">
        <v>8</v>
      </c>
      <c r="E179">
        <f t="shared" si="6"/>
        <v>1</v>
      </c>
      <c r="F179">
        <f t="shared" si="7"/>
        <v>0</v>
      </c>
      <c r="G179">
        <f t="shared" si="8"/>
        <v>0</v>
      </c>
    </row>
    <row r="180" spans="1:7" ht="15.75" customHeight="1" x14ac:dyDescent="0.25">
      <c r="A180" s="33">
        <v>34</v>
      </c>
      <c r="B180" s="34">
        <v>4.03</v>
      </c>
      <c r="C180" s="36">
        <v>44.21</v>
      </c>
      <c r="D180" s="33" t="s">
        <v>8</v>
      </c>
      <c r="E180">
        <f t="shared" si="6"/>
        <v>1</v>
      </c>
      <c r="F180">
        <f t="shared" si="7"/>
        <v>0</v>
      </c>
      <c r="G180">
        <f t="shared" si="8"/>
        <v>0</v>
      </c>
    </row>
    <row r="181" spans="1:7" ht="15.75" customHeight="1" x14ac:dyDescent="0.25">
      <c r="A181" s="33">
        <v>9</v>
      </c>
      <c r="B181" s="34">
        <v>9.9600000000000009</v>
      </c>
      <c r="C181" s="36">
        <v>50.61</v>
      </c>
      <c r="D181" s="33" t="s">
        <v>8</v>
      </c>
      <c r="E181">
        <f t="shared" si="6"/>
        <v>1</v>
      </c>
      <c r="F181">
        <f t="shared" si="7"/>
        <v>0</v>
      </c>
      <c r="G181">
        <f t="shared" si="8"/>
        <v>0</v>
      </c>
    </row>
    <row r="182" spans="1:7" ht="15.75" customHeight="1" x14ac:dyDescent="0.25">
      <c r="A182" s="33">
        <v>30</v>
      </c>
      <c r="B182" s="34">
        <v>4.1500000000000004</v>
      </c>
      <c r="C182" s="36">
        <v>60.58</v>
      </c>
      <c r="D182" s="33" t="s">
        <v>8</v>
      </c>
      <c r="E182">
        <f t="shared" si="6"/>
        <v>1</v>
      </c>
      <c r="F182">
        <f t="shared" si="7"/>
        <v>0</v>
      </c>
      <c r="G182">
        <f t="shared" si="8"/>
        <v>0</v>
      </c>
    </row>
    <row r="183" spans="1:7" ht="15.75" customHeight="1" x14ac:dyDescent="0.25">
      <c r="A183" s="33">
        <v>54</v>
      </c>
      <c r="B183" s="34">
        <v>7.58</v>
      </c>
      <c r="C183" s="36">
        <v>44.09</v>
      </c>
      <c r="D183" s="33" t="s">
        <v>8</v>
      </c>
      <c r="E183">
        <f t="shared" si="6"/>
        <v>1</v>
      </c>
      <c r="F183">
        <f t="shared" si="7"/>
        <v>0</v>
      </c>
      <c r="G183">
        <f t="shared" si="8"/>
        <v>0</v>
      </c>
    </row>
    <row r="184" spans="1:7" ht="15.75" customHeight="1" x14ac:dyDescent="0.25">
      <c r="A184" s="33">
        <v>18</v>
      </c>
      <c r="B184" s="34">
        <v>7.54</v>
      </c>
      <c r="C184" s="36">
        <v>75.03</v>
      </c>
      <c r="D184" s="33" t="s">
        <v>8</v>
      </c>
      <c r="E184">
        <f t="shared" si="6"/>
        <v>1</v>
      </c>
      <c r="F184">
        <f t="shared" si="7"/>
        <v>0</v>
      </c>
      <c r="G184">
        <f t="shared" si="8"/>
        <v>0</v>
      </c>
    </row>
    <row r="185" spans="1:7" ht="15.75" customHeight="1" x14ac:dyDescent="0.25">
      <c r="A185" s="33">
        <v>51</v>
      </c>
      <c r="B185" s="34">
        <v>5.25</v>
      </c>
      <c r="C185" s="36">
        <v>44.82</v>
      </c>
      <c r="D185" s="33" t="s">
        <v>8</v>
      </c>
      <c r="E185">
        <f t="shared" si="6"/>
        <v>1</v>
      </c>
      <c r="F185">
        <f t="shared" si="7"/>
        <v>0</v>
      </c>
      <c r="G185">
        <f t="shared" si="8"/>
        <v>0</v>
      </c>
    </row>
    <row r="186" spans="1:7" ht="15.75" customHeight="1" x14ac:dyDescent="0.25">
      <c r="A186" s="33">
        <v>38</v>
      </c>
      <c r="B186" s="34">
        <v>7.21</v>
      </c>
      <c r="C186" s="36">
        <v>86.23</v>
      </c>
      <c r="D186" s="33" t="s">
        <v>8</v>
      </c>
      <c r="E186">
        <f t="shared" si="6"/>
        <v>1</v>
      </c>
      <c r="F186">
        <f t="shared" si="7"/>
        <v>0</v>
      </c>
      <c r="G186">
        <f t="shared" si="8"/>
        <v>0</v>
      </c>
    </row>
    <row r="187" spans="1:7" ht="15.75" customHeight="1" x14ac:dyDescent="0.25">
      <c r="A187" s="33">
        <v>4</v>
      </c>
      <c r="B187" s="34">
        <v>9.42</v>
      </c>
      <c r="C187" s="36">
        <v>75.459999999999994</v>
      </c>
      <c r="D187" s="33" t="s">
        <v>8</v>
      </c>
      <c r="E187">
        <f t="shared" si="6"/>
        <v>1</v>
      </c>
      <c r="F187">
        <f t="shared" si="7"/>
        <v>0</v>
      </c>
      <c r="G187">
        <f t="shared" si="8"/>
        <v>0</v>
      </c>
    </row>
    <row r="188" spans="1:7" ht="15.75" customHeight="1" x14ac:dyDescent="0.25">
      <c r="A188" s="33">
        <v>23</v>
      </c>
      <c r="B188" s="34">
        <v>6.68</v>
      </c>
      <c r="C188" s="36">
        <v>33.049999999999997</v>
      </c>
      <c r="D188" s="33" t="s">
        <v>8</v>
      </c>
      <c r="E188">
        <f t="shared" si="6"/>
        <v>1</v>
      </c>
      <c r="F188">
        <f t="shared" si="7"/>
        <v>0</v>
      </c>
      <c r="G188">
        <f t="shared" si="8"/>
        <v>0</v>
      </c>
    </row>
    <row r="189" spans="1:7" ht="15.75" customHeight="1" x14ac:dyDescent="0.25">
      <c r="A189" s="33">
        <v>26</v>
      </c>
      <c r="B189" s="34">
        <v>5.78</v>
      </c>
      <c r="C189" s="36">
        <v>87.4</v>
      </c>
      <c r="D189" s="33" t="s">
        <v>8</v>
      </c>
      <c r="E189">
        <f t="shared" si="6"/>
        <v>1</v>
      </c>
      <c r="F189">
        <f t="shared" si="7"/>
        <v>0</v>
      </c>
      <c r="G189">
        <f t="shared" si="8"/>
        <v>0</v>
      </c>
    </row>
    <row r="190" spans="1:7" ht="15.75" customHeight="1" x14ac:dyDescent="0.25">
      <c r="A190" s="33">
        <v>47</v>
      </c>
      <c r="B190" s="34">
        <v>5.23</v>
      </c>
      <c r="C190" s="36">
        <v>40.19</v>
      </c>
      <c r="D190" s="33" t="s">
        <v>8</v>
      </c>
      <c r="E190">
        <f t="shared" si="6"/>
        <v>1</v>
      </c>
      <c r="F190">
        <f t="shared" si="7"/>
        <v>0</v>
      </c>
      <c r="G190">
        <f t="shared" si="8"/>
        <v>0</v>
      </c>
    </row>
    <row r="191" spans="1:7" ht="15.75" customHeight="1" x14ac:dyDescent="0.25">
      <c r="A191" s="33">
        <v>22</v>
      </c>
      <c r="B191" s="34">
        <v>4.38</v>
      </c>
      <c r="C191" s="36">
        <v>43.95</v>
      </c>
      <c r="D191" s="33" t="s">
        <v>8</v>
      </c>
      <c r="E191">
        <f t="shared" si="6"/>
        <v>1</v>
      </c>
      <c r="F191">
        <f t="shared" si="7"/>
        <v>0</v>
      </c>
      <c r="G191">
        <f t="shared" si="8"/>
        <v>0</v>
      </c>
    </row>
    <row r="192" spans="1:7" ht="15.75" customHeight="1" x14ac:dyDescent="0.25">
      <c r="A192" s="33">
        <v>43</v>
      </c>
      <c r="B192" s="34">
        <v>9.01</v>
      </c>
      <c r="C192" s="36">
        <v>61.06</v>
      </c>
      <c r="D192" s="33" t="s">
        <v>8</v>
      </c>
      <c r="E192">
        <f t="shared" si="6"/>
        <v>1</v>
      </c>
      <c r="F192">
        <f t="shared" si="7"/>
        <v>0</v>
      </c>
      <c r="G192">
        <f t="shared" si="8"/>
        <v>0</v>
      </c>
    </row>
    <row r="193" spans="1:7" ht="15.75" customHeight="1" x14ac:dyDescent="0.25">
      <c r="A193" s="33">
        <v>4</v>
      </c>
      <c r="B193" s="34">
        <v>5.12</v>
      </c>
      <c r="C193" s="36">
        <v>63.38</v>
      </c>
      <c r="D193" s="33" t="s">
        <v>8</v>
      </c>
      <c r="E193">
        <f t="shared" si="6"/>
        <v>1</v>
      </c>
      <c r="F193">
        <f t="shared" si="7"/>
        <v>0</v>
      </c>
      <c r="G193">
        <f t="shared" si="8"/>
        <v>0</v>
      </c>
    </row>
    <row r="194" spans="1:7" ht="15.75" customHeight="1" x14ac:dyDescent="0.25">
      <c r="A194" s="33">
        <v>26</v>
      </c>
      <c r="B194" s="34">
        <v>4.18</v>
      </c>
      <c r="C194" s="36">
        <v>8</v>
      </c>
      <c r="D194" s="33" t="s">
        <v>8</v>
      </c>
      <c r="E194">
        <f t="shared" ref="E194:E257" si="9">IF(D194="bien de conso.",1,0)</f>
        <v>1</v>
      </c>
      <c r="F194">
        <f t="shared" ref="F194:F257" si="10">IF($D194="nourriture",1,0)</f>
        <v>0</v>
      </c>
      <c r="G194">
        <f t="shared" ref="G194:G257" si="11">IF($D194="high tech",1,0)</f>
        <v>0</v>
      </c>
    </row>
    <row r="195" spans="1:7" ht="15.75" customHeight="1" x14ac:dyDescent="0.25">
      <c r="A195" s="33">
        <v>47</v>
      </c>
      <c r="B195" s="34">
        <v>6.36</v>
      </c>
      <c r="C195" s="36">
        <v>67.44</v>
      </c>
      <c r="D195" s="33" t="s">
        <v>8</v>
      </c>
      <c r="E195">
        <f t="shared" si="9"/>
        <v>1</v>
      </c>
      <c r="F195">
        <f t="shared" si="10"/>
        <v>0</v>
      </c>
      <c r="G195">
        <f t="shared" si="11"/>
        <v>0</v>
      </c>
    </row>
    <row r="196" spans="1:7" ht="15.75" customHeight="1" x14ac:dyDescent="0.25">
      <c r="A196" s="33">
        <v>13</v>
      </c>
      <c r="B196" s="34">
        <v>4.08</v>
      </c>
      <c r="C196" s="36">
        <v>82.05</v>
      </c>
      <c r="D196" s="33" t="s">
        <v>8</v>
      </c>
      <c r="E196">
        <f t="shared" si="9"/>
        <v>1</v>
      </c>
      <c r="F196">
        <f t="shared" si="10"/>
        <v>0</v>
      </c>
      <c r="G196">
        <f t="shared" si="11"/>
        <v>0</v>
      </c>
    </row>
    <row r="197" spans="1:7" ht="15.75" customHeight="1" x14ac:dyDescent="0.25">
      <c r="A197" s="33">
        <v>59</v>
      </c>
      <c r="B197" s="34">
        <v>8.5399999999999991</v>
      </c>
      <c r="C197" s="36">
        <v>42.33</v>
      </c>
      <c r="D197" s="33" t="s">
        <v>8</v>
      </c>
      <c r="E197">
        <f t="shared" si="9"/>
        <v>1</v>
      </c>
      <c r="F197">
        <f t="shared" si="10"/>
        <v>0</v>
      </c>
      <c r="G197">
        <f t="shared" si="11"/>
        <v>0</v>
      </c>
    </row>
    <row r="198" spans="1:7" ht="15.75" customHeight="1" x14ac:dyDescent="0.25">
      <c r="A198" s="33">
        <v>39</v>
      </c>
      <c r="B198" s="34">
        <v>5.38</v>
      </c>
      <c r="C198" s="36">
        <v>46.56</v>
      </c>
      <c r="D198" s="33" t="s">
        <v>8</v>
      </c>
      <c r="E198">
        <f t="shared" si="9"/>
        <v>1</v>
      </c>
      <c r="F198">
        <f t="shared" si="10"/>
        <v>0</v>
      </c>
      <c r="G198">
        <f t="shared" si="11"/>
        <v>0</v>
      </c>
    </row>
    <row r="199" spans="1:7" ht="15.75" customHeight="1" x14ac:dyDescent="0.25">
      <c r="A199" s="33">
        <v>38</v>
      </c>
      <c r="B199" s="34">
        <v>5.5</v>
      </c>
      <c r="C199" s="36">
        <v>42.01</v>
      </c>
      <c r="D199" s="33" t="s">
        <v>8</v>
      </c>
      <c r="E199">
        <f t="shared" si="9"/>
        <v>1</v>
      </c>
      <c r="F199">
        <f t="shared" si="10"/>
        <v>0</v>
      </c>
      <c r="G199">
        <f t="shared" si="11"/>
        <v>0</v>
      </c>
    </row>
    <row r="200" spans="1:7" ht="15.75" customHeight="1" x14ac:dyDescent="0.25">
      <c r="A200" s="33">
        <v>47</v>
      </c>
      <c r="B200" s="34">
        <v>5.03</v>
      </c>
      <c r="C200" s="36">
        <v>31.21</v>
      </c>
      <c r="D200" s="33" t="s">
        <v>8</v>
      </c>
      <c r="E200">
        <f t="shared" si="9"/>
        <v>1</v>
      </c>
      <c r="F200">
        <f t="shared" si="10"/>
        <v>0</v>
      </c>
      <c r="G200">
        <f t="shared" si="11"/>
        <v>0</v>
      </c>
    </row>
    <row r="201" spans="1:7" ht="15.75" customHeight="1" x14ac:dyDescent="0.25">
      <c r="A201" s="33">
        <v>60</v>
      </c>
      <c r="B201" s="34">
        <v>4.6900000000000004</v>
      </c>
      <c r="C201" s="36">
        <v>46.24</v>
      </c>
      <c r="D201" s="33" t="s">
        <v>8</v>
      </c>
      <c r="E201">
        <f t="shared" si="9"/>
        <v>1</v>
      </c>
      <c r="F201">
        <f t="shared" si="10"/>
        <v>0</v>
      </c>
      <c r="G201">
        <f t="shared" si="11"/>
        <v>0</v>
      </c>
    </row>
    <row r="202" spans="1:7" ht="15.75" customHeight="1" x14ac:dyDescent="0.25">
      <c r="A202" s="33">
        <v>23</v>
      </c>
      <c r="B202" s="34">
        <v>4.34</v>
      </c>
      <c r="C202" s="36">
        <v>50.33</v>
      </c>
      <c r="D202" s="33" t="s">
        <v>8</v>
      </c>
      <c r="E202">
        <f t="shared" si="9"/>
        <v>1</v>
      </c>
      <c r="F202">
        <f t="shared" si="10"/>
        <v>0</v>
      </c>
      <c r="G202">
        <f t="shared" si="11"/>
        <v>0</v>
      </c>
    </row>
    <row r="203" spans="1:7" ht="15.75" customHeight="1" x14ac:dyDescent="0.25">
      <c r="A203" s="33">
        <v>3</v>
      </c>
      <c r="B203" s="34">
        <v>8.93</v>
      </c>
      <c r="C203" s="36">
        <v>118.54</v>
      </c>
      <c r="D203" s="33" t="s">
        <v>8</v>
      </c>
      <c r="E203">
        <f t="shared" si="9"/>
        <v>1</v>
      </c>
      <c r="F203">
        <f t="shared" si="10"/>
        <v>0</v>
      </c>
      <c r="G203">
        <f t="shared" si="11"/>
        <v>0</v>
      </c>
    </row>
    <row r="204" spans="1:7" ht="15.75" customHeight="1" x14ac:dyDescent="0.25">
      <c r="A204" s="33">
        <v>7</v>
      </c>
      <c r="B204" s="34">
        <v>7.91</v>
      </c>
      <c r="C204" s="36">
        <v>66.209999999999994</v>
      </c>
      <c r="D204" s="33" t="s">
        <v>8</v>
      </c>
      <c r="E204">
        <f t="shared" si="9"/>
        <v>1</v>
      </c>
      <c r="F204">
        <f t="shared" si="10"/>
        <v>0</v>
      </c>
      <c r="G204">
        <f t="shared" si="11"/>
        <v>0</v>
      </c>
    </row>
    <row r="205" spans="1:7" ht="15.75" customHeight="1" x14ac:dyDescent="0.25">
      <c r="A205" s="33">
        <v>24</v>
      </c>
      <c r="B205" s="34">
        <v>4.67</v>
      </c>
      <c r="C205" s="36">
        <v>57.53</v>
      </c>
      <c r="D205" s="33" t="s">
        <v>8</v>
      </c>
      <c r="E205">
        <f t="shared" si="9"/>
        <v>1</v>
      </c>
      <c r="F205">
        <f t="shared" si="10"/>
        <v>0</v>
      </c>
      <c r="G205">
        <f t="shared" si="11"/>
        <v>0</v>
      </c>
    </row>
    <row r="206" spans="1:7" ht="15.75" customHeight="1" x14ac:dyDescent="0.25">
      <c r="A206" s="33">
        <v>24</v>
      </c>
      <c r="B206" s="34">
        <v>9.91</v>
      </c>
      <c r="C206" s="36">
        <v>62.71</v>
      </c>
      <c r="D206" s="33" t="s">
        <v>8</v>
      </c>
      <c r="E206">
        <f t="shared" si="9"/>
        <v>1</v>
      </c>
      <c r="F206">
        <f t="shared" si="10"/>
        <v>0</v>
      </c>
      <c r="G206">
        <f t="shared" si="11"/>
        <v>0</v>
      </c>
    </row>
    <row r="207" spans="1:7" ht="15.75" customHeight="1" x14ac:dyDescent="0.25">
      <c r="A207" s="33">
        <v>11</v>
      </c>
      <c r="B207" s="34">
        <v>6.33</v>
      </c>
      <c r="C207" s="36">
        <v>50.62</v>
      </c>
      <c r="D207" s="33" t="s">
        <v>8</v>
      </c>
      <c r="E207">
        <f t="shared" si="9"/>
        <v>1</v>
      </c>
      <c r="F207">
        <f t="shared" si="10"/>
        <v>0</v>
      </c>
      <c r="G207">
        <f t="shared" si="11"/>
        <v>0</v>
      </c>
    </row>
    <row r="208" spans="1:7" ht="15.75" customHeight="1" x14ac:dyDescent="0.25">
      <c r="A208" s="33">
        <v>25</v>
      </c>
      <c r="B208" s="34">
        <v>9.67</v>
      </c>
      <c r="C208" s="36">
        <v>93.01</v>
      </c>
      <c r="D208" s="33" t="s">
        <v>8</v>
      </c>
      <c r="E208">
        <f t="shared" si="9"/>
        <v>1</v>
      </c>
      <c r="F208">
        <f t="shared" si="10"/>
        <v>0</v>
      </c>
      <c r="G208">
        <f t="shared" si="11"/>
        <v>0</v>
      </c>
    </row>
    <row r="209" spans="1:7" ht="15.75" customHeight="1" x14ac:dyDescent="0.25">
      <c r="A209" s="33">
        <v>7</v>
      </c>
      <c r="B209" s="34">
        <v>5.36</v>
      </c>
      <c r="C209" s="36">
        <v>66.86</v>
      </c>
      <c r="D209" s="33" t="s">
        <v>8</v>
      </c>
      <c r="E209">
        <f t="shared" si="9"/>
        <v>1</v>
      </c>
      <c r="F209">
        <f t="shared" si="10"/>
        <v>0</v>
      </c>
      <c r="G209">
        <f t="shared" si="11"/>
        <v>0</v>
      </c>
    </row>
    <row r="210" spans="1:7" ht="15.75" customHeight="1" x14ac:dyDescent="0.25">
      <c r="A210" s="33">
        <v>31</v>
      </c>
      <c r="B210" s="34">
        <v>4.13</v>
      </c>
      <c r="C210" s="36">
        <v>26.63</v>
      </c>
      <c r="D210" s="33" t="s">
        <v>8</v>
      </c>
      <c r="E210">
        <f t="shared" si="9"/>
        <v>1</v>
      </c>
      <c r="F210">
        <f t="shared" si="10"/>
        <v>0</v>
      </c>
      <c r="G210">
        <f t="shared" si="11"/>
        <v>0</v>
      </c>
    </row>
    <row r="211" spans="1:7" ht="15.75" customHeight="1" x14ac:dyDescent="0.25">
      <c r="A211" s="33">
        <v>20</v>
      </c>
      <c r="B211" s="34">
        <v>7.36</v>
      </c>
      <c r="C211" s="36">
        <v>80.430000000000007</v>
      </c>
      <c r="D211" s="33" t="s">
        <v>8</v>
      </c>
      <c r="E211">
        <f t="shared" si="9"/>
        <v>1</v>
      </c>
      <c r="F211">
        <f t="shared" si="10"/>
        <v>0</v>
      </c>
      <c r="G211">
        <f t="shared" si="11"/>
        <v>0</v>
      </c>
    </row>
    <row r="212" spans="1:7" ht="15.75" customHeight="1" x14ac:dyDescent="0.25">
      <c r="A212" s="33">
        <v>31</v>
      </c>
      <c r="B212" s="34">
        <v>9.84</v>
      </c>
      <c r="C212" s="36">
        <v>108.17</v>
      </c>
      <c r="D212" s="33" t="s">
        <v>9</v>
      </c>
      <c r="E212">
        <f t="shared" si="9"/>
        <v>0</v>
      </c>
      <c r="F212">
        <f t="shared" si="10"/>
        <v>1</v>
      </c>
      <c r="G212">
        <f t="shared" si="11"/>
        <v>0</v>
      </c>
    </row>
    <row r="213" spans="1:7" ht="15.75" customHeight="1" x14ac:dyDescent="0.25">
      <c r="A213" s="33">
        <v>44</v>
      </c>
      <c r="B213" s="34">
        <v>6.44</v>
      </c>
      <c r="C213" s="36">
        <v>95.27</v>
      </c>
      <c r="D213" s="33" t="s">
        <v>8</v>
      </c>
      <c r="E213">
        <f t="shared" si="9"/>
        <v>1</v>
      </c>
      <c r="F213">
        <f t="shared" si="10"/>
        <v>0</v>
      </c>
      <c r="G213">
        <f t="shared" si="11"/>
        <v>0</v>
      </c>
    </row>
    <row r="214" spans="1:7" ht="15.75" customHeight="1" x14ac:dyDescent="0.25">
      <c r="A214" s="33">
        <v>15</v>
      </c>
      <c r="B214" s="34">
        <v>4.1399999999999997</v>
      </c>
      <c r="C214" s="36">
        <v>35.78</v>
      </c>
      <c r="D214" s="33" t="s">
        <v>8</v>
      </c>
      <c r="E214">
        <f t="shared" si="9"/>
        <v>1</v>
      </c>
      <c r="F214">
        <f t="shared" si="10"/>
        <v>0</v>
      </c>
      <c r="G214">
        <f t="shared" si="11"/>
        <v>0</v>
      </c>
    </row>
    <row r="215" spans="1:7" ht="15.75" customHeight="1" x14ac:dyDescent="0.25">
      <c r="A215" s="33">
        <v>35</v>
      </c>
      <c r="B215" s="34">
        <v>6.63</v>
      </c>
      <c r="C215" s="36">
        <v>79.290000000000006</v>
      </c>
      <c r="D215" s="33" t="s">
        <v>8</v>
      </c>
      <c r="E215">
        <f t="shared" si="9"/>
        <v>1</v>
      </c>
      <c r="F215">
        <f t="shared" si="10"/>
        <v>0</v>
      </c>
      <c r="G215">
        <f t="shared" si="11"/>
        <v>0</v>
      </c>
    </row>
    <row r="216" spans="1:7" ht="15.75" customHeight="1" x14ac:dyDescent="0.25">
      <c r="A216" s="33">
        <v>42</v>
      </c>
      <c r="B216" s="34">
        <v>7.68</v>
      </c>
      <c r="C216" s="36">
        <v>70.06</v>
      </c>
      <c r="D216" s="33" t="s">
        <v>8</v>
      </c>
      <c r="E216">
        <f t="shared" si="9"/>
        <v>1</v>
      </c>
      <c r="F216">
        <f t="shared" si="10"/>
        <v>0</v>
      </c>
      <c r="G216">
        <f t="shared" si="11"/>
        <v>0</v>
      </c>
    </row>
    <row r="217" spans="1:7" ht="15.75" customHeight="1" x14ac:dyDescent="0.25">
      <c r="A217" s="33">
        <v>33</v>
      </c>
      <c r="B217" s="34">
        <v>8.4700000000000006</v>
      </c>
      <c r="C217" s="36">
        <v>69.06</v>
      </c>
      <c r="D217" s="33" t="s">
        <v>8</v>
      </c>
      <c r="E217">
        <f t="shared" si="9"/>
        <v>1</v>
      </c>
      <c r="F217">
        <f t="shared" si="10"/>
        <v>0</v>
      </c>
      <c r="G217">
        <f t="shared" si="11"/>
        <v>0</v>
      </c>
    </row>
    <row r="218" spans="1:7" ht="15.75" customHeight="1" x14ac:dyDescent="0.25">
      <c r="A218" s="33">
        <v>12</v>
      </c>
      <c r="B218" s="34">
        <v>4.5199999999999996</v>
      </c>
      <c r="C218" s="36">
        <v>45.92</v>
      </c>
      <c r="D218" s="33" t="s">
        <v>8</v>
      </c>
      <c r="E218">
        <f t="shared" si="9"/>
        <v>1</v>
      </c>
      <c r="F218">
        <f t="shared" si="10"/>
        <v>0</v>
      </c>
      <c r="G218">
        <f t="shared" si="11"/>
        <v>0</v>
      </c>
    </row>
    <row r="219" spans="1:7" ht="15.75" customHeight="1" x14ac:dyDescent="0.25">
      <c r="A219" s="33">
        <v>8</v>
      </c>
      <c r="B219" s="34">
        <v>8.39</v>
      </c>
      <c r="C219" s="36">
        <v>89.98</v>
      </c>
      <c r="D219" s="33" t="s">
        <v>8</v>
      </c>
      <c r="E219">
        <f t="shared" si="9"/>
        <v>1</v>
      </c>
      <c r="F219">
        <f t="shared" si="10"/>
        <v>0</v>
      </c>
      <c r="G219">
        <f t="shared" si="11"/>
        <v>0</v>
      </c>
    </row>
    <row r="220" spans="1:7" ht="15.75" customHeight="1" x14ac:dyDescent="0.25">
      <c r="A220" s="33">
        <v>28</v>
      </c>
      <c r="B220" s="34">
        <v>8.86</v>
      </c>
      <c r="C220" s="36">
        <v>55.5</v>
      </c>
      <c r="D220" s="33" t="s">
        <v>8</v>
      </c>
      <c r="E220">
        <f t="shared" si="9"/>
        <v>1</v>
      </c>
      <c r="F220">
        <f t="shared" si="10"/>
        <v>0</v>
      </c>
      <c r="G220">
        <f t="shared" si="11"/>
        <v>0</v>
      </c>
    </row>
    <row r="221" spans="1:7" ht="15.75" customHeight="1" x14ac:dyDescent="0.25">
      <c r="A221" s="33">
        <v>2</v>
      </c>
      <c r="B221" s="34">
        <v>9.4600000000000009</v>
      </c>
      <c r="C221" s="36">
        <v>90.99</v>
      </c>
      <c r="D221" s="33" t="s">
        <v>8</v>
      </c>
      <c r="E221">
        <f t="shared" si="9"/>
        <v>1</v>
      </c>
      <c r="F221">
        <f t="shared" si="10"/>
        <v>0</v>
      </c>
      <c r="G221">
        <f t="shared" si="11"/>
        <v>0</v>
      </c>
    </row>
    <row r="222" spans="1:7" ht="15.75" customHeight="1" x14ac:dyDescent="0.25">
      <c r="A222" s="33">
        <v>9</v>
      </c>
      <c r="B222" s="34">
        <v>6.5</v>
      </c>
      <c r="C222" s="36">
        <v>76.010000000000005</v>
      </c>
      <c r="D222" s="33" t="s">
        <v>8</v>
      </c>
      <c r="E222">
        <f t="shared" si="9"/>
        <v>1</v>
      </c>
      <c r="F222">
        <f t="shared" si="10"/>
        <v>0</v>
      </c>
      <c r="G222">
        <f t="shared" si="11"/>
        <v>0</v>
      </c>
    </row>
    <row r="223" spans="1:7" ht="15.75" customHeight="1" x14ac:dyDescent="0.25">
      <c r="A223" s="33">
        <v>27</v>
      </c>
      <c r="B223" s="34">
        <v>6.63</v>
      </c>
      <c r="C223" s="36">
        <v>34.28</v>
      </c>
      <c r="D223" s="33" t="s">
        <v>8</v>
      </c>
      <c r="E223">
        <f t="shared" si="9"/>
        <v>1</v>
      </c>
      <c r="F223">
        <f t="shared" si="10"/>
        <v>0</v>
      </c>
      <c r="G223">
        <f t="shared" si="11"/>
        <v>0</v>
      </c>
    </row>
    <row r="224" spans="1:7" ht="15.75" customHeight="1" x14ac:dyDescent="0.25">
      <c r="A224" s="33">
        <v>38</v>
      </c>
      <c r="B224" s="34">
        <v>8.56</v>
      </c>
      <c r="C224" s="36">
        <v>103.65</v>
      </c>
      <c r="D224" s="33" t="s">
        <v>9</v>
      </c>
      <c r="E224">
        <f t="shared" si="9"/>
        <v>0</v>
      </c>
      <c r="F224">
        <f t="shared" si="10"/>
        <v>1</v>
      </c>
      <c r="G224">
        <f t="shared" si="11"/>
        <v>0</v>
      </c>
    </row>
    <row r="225" spans="1:7" ht="15.75" customHeight="1" x14ac:dyDescent="0.25">
      <c r="A225" s="33">
        <v>33</v>
      </c>
      <c r="B225" s="34">
        <v>9.19</v>
      </c>
      <c r="C225" s="36">
        <v>72.56</v>
      </c>
      <c r="D225" s="33" t="s">
        <v>8</v>
      </c>
      <c r="E225">
        <f t="shared" si="9"/>
        <v>1</v>
      </c>
      <c r="F225">
        <f t="shared" si="10"/>
        <v>0</v>
      </c>
      <c r="G225">
        <f t="shared" si="11"/>
        <v>0</v>
      </c>
    </row>
    <row r="226" spans="1:7" ht="15.75" customHeight="1" x14ac:dyDescent="0.25">
      <c r="A226" s="33">
        <v>23</v>
      </c>
      <c r="B226" s="34">
        <v>4.1500000000000004</v>
      </c>
      <c r="C226" s="36">
        <v>49.27</v>
      </c>
      <c r="D226" s="33" t="s">
        <v>8</v>
      </c>
      <c r="E226">
        <f t="shared" si="9"/>
        <v>1</v>
      </c>
      <c r="F226">
        <f t="shared" si="10"/>
        <v>0</v>
      </c>
      <c r="G226">
        <f t="shared" si="11"/>
        <v>0</v>
      </c>
    </row>
    <row r="227" spans="1:7" ht="15.75" customHeight="1" x14ac:dyDescent="0.25">
      <c r="A227" s="33">
        <v>48</v>
      </c>
      <c r="B227" s="34">
        <v>6.09</v>
      </c>
      <c r="C227" s="36">
        <v>65.209999999999994</v>
      </c>
      <c r="D227" s="33" t="s">
        <v>8</v>
      </c>
      <c r="E227">
        <f t="shared" si="9"/>
        <v>1</v>
      </c>
      <c r="F227">
        <f t="shared" si="10"/>
        <v>0</v>
      </c>
      <c r="G227">
        <f t="shared" si="11"/>
        <v>0</v>
      </c>
    </row>
    <row r="228" spans="1:7" ht="15.75" customHeight="1" x14ac:dyDescent="0.25">
      <c r="A228" s="33">
        <v>28</v>
      </c>
      <c r="B228" s="34">
        <v>7.41</v>
      </c>
      <c r="C228" s="36">
        <v>86.46</v>
      </c>
      <c r="D228" s="33" t="s">
        <v>8</v>
      </c>
      <c r="E228">
        <f t="shared" si="9"/>
        <v>1</v>
      </c>
      <c r="F228">
        <f t="shared" si="10"/>
        <v>0</v>
      </c>
      <c r="G228">
        <f t="shared" si="11"/>
        <v>0</v>
      </c>
    </row>
    <row r="229" spans="1:7" ht="15.75" customHeight="1" x14ac:dyDescent="0.25">
      <c r="A229" s="33">
        <v>9</v>
      </c>
      <c r="B229" s="34">
        <v>5.47</v>
      </c>
      <c r="C229" s="36">
        <v>45.76</v>
      </c>
      <c r="D229" s="33" t="s">
        <v>8</v>
      </c>
      <c r="E229">
        <f t="shared" si="9"/>
        <v>1</v>
      </c>
      <c r="F229">
        <f t="shared" si="10"/>
        <v>0</v>
      </c>
      <c r="G229">
        <f t="shared" si="11"/>
        <v>0</v>
      </c>
    </row>
    <row r="230" spans="1:7" ht="15.75" customHeight="1" x14ac:dyDescent="0.25">
      <c r="A230" s="33">
        <v>31</v>
      </c>
      <c r="B230" s="34">
        <v>4.6500000000000004</v>
      </c>
      <c r="C230" s="36">
        <v>30.74</v>
      </c>
      <c r="D230" s="33" t="s">
        <v>8</v>
      </c>
      <c r="E230">
        <f t="shared" si="9"/>
        <v>1</v>
      </c>
      <c r="F230">
        <f t="shared" si="10"/>
        <v>0</v>
      </c>
      <c r="G230">
        <f t="shared" si="11"/>
        <v>0</v>
      </c>
    </row>
    <row r="231" spans="1:7" ht="15.75" customHeight="1" x14ac:dyDescent="0.25">
      <c r="A231" s="33">
        <v>35</v>
      </c>
      <c r="B231" s="34">
        <v>7.69</v>
      </c>
      <c r="C231" s="36">
        <v>81.08</v>
      </c>
      <c r="D231" s="33" t="s">
        <v>8</v>
      </c>
      <c r="E231">
        <f t="shared" si="9"/>
        <v>1</v>
      </c>
      <c r="F231">
        <f t="shared" si="10"/>
        <v>0</v>
      </c>
      <c r="G231">
        <f t="shared" si="11"/>
        <v>0</v>
      </c>
    </row>
    <row r="232" spans="1:7" ht="15.75" customHeight="1" x14ac:dyDescent="0.25">
      <c r="A232" s="33">
        <v>38</v>
      </c>
      <c r="B232" s="34">
        <v>4.75</v>
      </c>
      <c r="C232" s="36">
        <v>51</v>
      </c>
      <c r="D232" s="33" t="s">
        <v>8</v>
      </c>
      <c r="E232">
        <f t="shared" si="9"/>
        <v>1</v>
      </c>
      <c r="F232">
        <f t="shared" si="10"/>
        <v>0</v>
      </c>
      <c r="G232">
        <f t="shared" si="11"/>
        <v>0</v>
      </c>
    </row>
    <row r="233" spans="1:7" ht="15.75" customHeight="1" x14ac:dyDescent="0.25">
      <c r="A233" s="33">
        <v>41</v>
      </c>
      <c r="B233" s="34">
        <v>8.68</v>
      </c>
      <c r="C233" s="36">
        <v>67.36</v>
      </c>
      <c r="D233" s="33" t="s">
        <v>8</v>
      </c>
      <c r="E233">
        <f t="shared" si="9"/>
        <v>1</v>
      </c>
      <c r="F233">
        <f t="shared" si="10"/>
        <v>0</v>
      </c>
      <c r="G233">
        <f t="shared" si="11"/>
        <v>0</v>
      </c>
    </row>
    <row r="234" spans="1:7" ht="15.75" customHeight="1" x14ac:dyDescent="0.25">
      <c r="A234" s="33">
        <v>33</v>
      </c>
      <c r="B234" s="34">
        <v>7.6</v>
      </c>
      <c r="C234" s="36">
        <v>50.29</v>
      </c>
      <c r="D234" s="33" t="s">
        <v>8</v>
      </c>
      <c r="E234">
        <f t="shared" si="9"/>
        <v>1</v>
      </c>
      <c r="F234">
        <f t="shared" si="10"/>
        <v>0</v>
      </c>
      <c r="G234">
        <f t="shared" si="11"/>
        <v>0</v>
      </c>
    </row>
    <row r="235" spans="1:7" ht="15.75" customHeight="1" x14ac:dyDescent="0.25">
      <c r="A235" s="33">
        <v>30</v>
      </c>
      <c r="B235" s="34">
        <v>9.2200000000000006</v>
      </c>
      <c r="C235" s="36">
        <v>83.76</v>
      </c>
      <c r="D235" s="33" t="s">
        <v>8</v>
      </c>
      <c r="E235">
        <f t="shared" si="9"/>
        <v>1</v>
      </c>
      <c r="F235">
        <f t="shared" si="10"/>
        <v>0</v>
      </c>
      <c r="G235">
        <f t="shared" si="11"/>
        <v>0</v>
      </c>
    </row>
    <row r="236" spans="1:7" ht="15.75" customHeight="1" x14ac:dyDescent="0.25">
      <c r="A236" s="33">
        <v>10</v>
      </c>
      <c r="B236" s="34">
        <v>5.46</v>
      </c>
      <c r="C236" s="36">
        <v>21.46</v>
      </c>
      <c r="D236" s="33" t="s">
        <v>8</v>
      </c>
      <c r="E236">
        <f t="shared" si="9"/>
        <v>1</v>
      </c>
      <c r="F236">
        <f t="shared" si="10"/>
        <v>0</v>
      </c>
      <c r="G236">
        <f t="shared" si="11"/>
        <v>0</v>
      </c>
    </row>
    <row r="237" spans="1:7" ht="15.75" customHeight="1" x14ac:dyDescent="0.25">
      <c r="A237" s="33">
        <v>18</v>
      </c>
      <c r="B237" s="34">
        <v>4.3</v>
      </c>
      <c r="C237" s="36">
        <v>52.51</v>
      </c>
      <c r="D237" s="33" t="s">
        <v>8</v>
      </c>
      <c r="E237">
        <f t="shared" si="9"/>
        <v>1</v>
      </c>
      <c r="F237">
        <f t="shared" si="10"/>
        <v>0</v>
      </c>
      <c r="G237">
        <f t="shared" si="11"/>
        <v>0</v>
      </c>
    </row>
    <row r="238" spans="1:7" ht="15.75" customHeight="1" x14ac:dyDescent="0.25">
      <c r="A238" s="33">
        <v>40</v>
      </c>
      <c r="B238" s="34">
        <v>4.4400000000000004</v>
      </c>
      <c r="C238" s="36">
        <v>24.63</v>
      </c>
      <c r="D238" s="33" t="s">
        <v>8</v>
      </c>
      <c r="E238">
        <f t="shared" si="9"/>
        <v>1</v>
      </c>
      <c r="F238">
        <f t="shared" si="10"/>
        <v>0</v>
      </c>
      <c r="G238">
        <f t="shared" si="11"/>
        <v>0</v>
      </c>
    </row>
    <row r="239" spans="1:7" ht="15.75" customHeight="1" x14ac:dyDescent="0.25">
      <c r="A239" s="33">
        <v>6</v>
      </c>
      <c r="B239" s="34">
        <v>4.68</v>
      </c>
      <c r="C239" s="36">
        <v>9.23</v>
      </c>
      <c r="D239" s="33" t="s">
        <v>8</v>
      </c>
      <c r="E239">
        <f t="shared" si="9"/>
        <v>1</v>
      </c>
      <c r="F239">
        <f t="shared" si="10"/>
        <v>0</v>
      </c>
      <c r="G239">
        <f t="shared" si="11"/>
        <v>0</v>
      </c>
    </row>
    <row r="240" spans="1:7" ht="15.75" customHeight="1" x14ac:dyDescent="0.25">
      <c r="A240" s="33">
        <v>63</v>
      </c>
      <c r="B240" s="34">
        <v>8.5500000000000007</v>
      </c>
      <c r="C240" s="36">
        <v>39.17</v>
      </c>
      <c r="D240" s="33" t="s">
        <v>8</v>
      </c>
      <c r="E240">
        <f t="shared" si="9"/>
        <v>1</v>
      </c>
      <c r="F240">
        <f t="shared" si="10"/>
        <v>0</v>
      </c>
      <c r="G240">
        <f t="shared" si="11"/>
        <v>0</v>
      </c>
    </row>
    <row r="241" spans="1:7" ht="15.75" customHeight="1" x14ac:dyDescent="0.25">
      <c r="A241" s="33">
        <v>9</v>
      </c>
      <c r="B241" s="34">
        <v>4.3</v>
      </c>
      <c r="C241" s="36">
        <v>50.74</v>
      </c>
      <c r="D241" s="33" t="s">
        <v>8</v>
      </c>
      <c r="E241">
        <f t="shared" si="9"/>
        <v>1</v>
      </c>
      <c r="F241">
        <f t="shared" si="10"/>
        <v>0</v>
      </c>
      <c r="G241">
        <f t="shared" si="11"/>
        <v>0</v>
      </c>
    </row>
    <row r="242" spans="1:7" ht="15.75" customHeight="1" x14ac:dyDescent="0.25">
      <c r="A242" s="33">
        <v>42</v>
      </c>
      <c r="B242" s="34">
        <v>7.06</v>
      </c>
      <c r="C242" s="36">
        <v>86.68</v>
      </c>
      <c r="D242" s="33" t="s">
        <v>8</v>
      </c>
      <c r="E242">
        <f t="shared" si="9"/>
        <v>1</v>
      </c>
      <c r="F242">
        <f t="shared" si="10"/>
        <v>0</v>
      </c>
      <c r="G242">
        <f t="shared" si="11"/>
        <v>0</v>
      </c>
    </row>
    <row r="243" spans="1:7" ht="15.75" customHeight="1" x14ac:dyDescent="0.25">
      <c r="A243" s="33">
        <v>24</v>
      </c>
      <c r="B243" s="34">
        <v>8.65</v>
      </c>
      <c r="C243" s="36">
        <v>79.790000000000006</v>
      </c>
      <c r="D243" s="33" t="s">
        <v>8</v>
      </c>
      <c r="E243">
        <f t="shared" si="9"/>
        <v>1</v>
      </c>
      <c r="F243">
        <f t="shared" si="10"/>
        <v>0</v>
      </c>
      <c r="G243">
        <f t="shared" si="11"/>
        <v>0</v>
      </c>
    </row>
    <row r="244" spans="1:7" ht="15.75" customHeight="1" x14ac:dyDescent="0.25">
      <c r="A244" s="33">
        <v>29</v>
      </c>
      <c r="B244" s="34">
        <v>7.38</v>
      </c>
      <c r="C244" s="36">
        <v>26.08</v>
      </c>
      <c r="D244" s="33" t="s">
        <v>8</v>
      </c>
      <c r="E244">
        <f t="shared" si="9"/>
        <v>1</v>
      </c>
      <c r="F244">
        <f t="shared" si="10"/>
        <v>0</v>
      </c>
      <c r="G244">
        <f t="shared" si="11"/>
        <v>0</v>
      </c>
    </row>
    <row r="245" spans="1:7" ht="15.75" customHeight="1" x14ac:dyDescent="0.25">
      <c r="A245" s="33">
        <v>3</v>
      </c>
      <c r="B245" s="34">
        <v>8.1199999999999992</v>
      </c>
      <c r="C245" s="36">
        <v>72.25</v>
      </c>
      <c r="D245" s="33" t="s">
        <v>8</v>
      </c>
      <c r="E245">
        <f t="shared" si="9"/>
        <v>1</v>
      </c>
      <c r="F245">
        <f t="shared" si="10"/>
        <v>0</v>
      </c>
      <c r="G245">
        <f t="shared" si="11"/>
        <v>0</v>
      </c>
    </row>
    <row r="246" spans="1:7" ht="15.75" customHeight="1" x14ac:dyDescent="0.25">
      <c r="A246" s="33">
        <v>22</v>
      </c>
      <c r="B246" s="34">
        <v>5.7</v>
      </c>
      <c r="C246" s="36">
        <v>49.24</v>
      </c>
      <c r="D246" s="33" t="s">
        <v>8</v>
      </c>
      <c r="E246">
        <f t="shared" si="9"/>
        <v>1</v>
      </c>
      <c r="F246">
        <f t="shared" si="10"/>
        <v>0</v>
      </c>
      <c r="G246">
        <f t="shared" si="11"/>
        <v>0</v>
      </c>
    </row>
    <row r="247" spans="1:7" ht="15.75" customHeight="1" x14ac:dyDescent="0.25">
      <c r="A247" s="33">
        <v>36</v>
      </c>
      <c r="B247" s="34">
        <v>9.99</v>
      </c>
      <c r="C247" s="36">
        <v>78.39</v>
      </c>
      <c r="D247" s="33" t="s">
        <v>8</v>
      </c>
      <c r="E247">
        <f t="shared" si="9"/>
        <v>1</v>
      </c>
      <c r="F247">
        <f t="shared" si="10"/>
        <v>0</v>
      </c>
      <c r="G247">
        <f t="shared" si="11"/>
        <v>0</v>
      </c>
    </row>
    <row r="248" spans="1:7" ht="15.75" customHeight="1" x14ac:dyDescent="0.25">
      <c r="A248" s="33">
        <v>67</v>
      </c>
      <c r="B248" s="34">
        <v>5.34</v>
      </c>
      <c r="C248" s="36">
        <v>70.22</v>
      </c>
      <c r="D248" s="33" t="s">
        <v>8</v>
      </c>
      <c r="E248">
        <f t="shared" si="9"/>
        <v>1</v>
      </c>
      <c r="F248">
        <f t="shared" si="10"/>
        <v>0</v>
      </c>
      <c r="G248">
        <f t="shared" si="11"/>
        <v>0</v>
      </c>
    </row>
    <row r="249" spans="1:7" ht="15.75" customHeight="1" x14ac:dyDescent="0.25">
      <c r="A249" s="33">
        <v>5</v>
      </c>
      <c r="B249" s="34">
        <v>8.2200000000000006</v>
      </c>
      <c r="C249" s="36">
        <v>60.49</v>
      </c>
      <c r="D249" s="33" t="s">
        <v>8</v>
      </c>
      <c r="E249">
        <f t="shared" si="9"/>
        <v>1</v>
      </c>
      <c r="F249">
        <f t="shared" si="10"/>
        <v>0</v>
      </c>
      <c r="G249">
        <f t="shared" si="11"/>
        <v>0</v>
      </c>
    </row>
    <row r="250" spans="1:7" ht="15.75" customHeight="1" x14ac:dyDescent="0.25">
      <c r="A250" s="33">
        <v>6</v>
      </c>
      <c r="B250" s="34">
        <v>4.78</v>
      </c>
      <c r="C250" s="36">
        <v>62.92</v>
      </c>
      <c r="D250" s="33" t="s">
        <v>8</v>
      </c>
      <c r="E250">
        <f t="shared" si="9"/>
        <v>1</v>
      </c>
      <c r="F250">
        <f t="shared" si="10"/>
        <v>0</v>
      </c>
      <c r="G250">
        <f t="shared" si="11"/>
        <v>0</v>
      </c>
    </row>
    <row r="251" spans="1:7" ht="15.75" customHeight="1" x14ac:dyDescent="0.25">
      <c r="A251" s="33">
        <v>41</v>
      </c>
      <c r="B251" s="34">
        <v>7.05</v>
      </c>
      <c r="C251" s="36">
        <v>48.83</v>
      </c>
      <c r="D251" s="33" t="s">
        <v>8</v>
      </c>
      <c r="E251">
        <f t="shared" si="9"/>
        <v>1</v>
      </c>
      <c r="F251">
        <f t="shared" si="10"/>
        <v>0</v>
      </c>
      <c r="G251">
        <f t="shared" si="11"/>
        <v>0</v>
      </c>
    </row>
    <row r="252" spans="1:7" ht="15.75" customHeight="1" x14ac:dyDescent="0.25">
      <c r="A252" s="33">
        <v>31</v>
      </c>
      <c r="B252" s="34">
        <v>4.83</v>
      </c>
      <c r="C252" s="36">
        <v>39.82</v>
      </c>
      <c r="D252" s="33" t="s">
        <v>9</v>
      </c>
      <c r="E252">
        <f t="shared" si="9"/>
        <v>0</v>
      </c>
      <c r="F252">
        <f t="shared" si="10"/>
        <v>1</v>
      </c>
      <c r="G252">
        <f t="shared" si="11"/>
        <v>0</v>
      </c>
    </row>
    <row r="253" spans="1:7" ht="15.75" customHeight="1" x14ac:dyDescent="0.25">
      <c r="A253" s="33">
        <v>22</v>
      </c>
      <c r="B253" s="34">
        <v>7.66</v>
      </c>
      <c r="C253" s="36">
        <v>69.86</v>
      </c>
      <c r="D253" s="33" t="s">
        <v>9</v>
      </c>
      <c r="E253">
        <f t="shared" si="9"/>
        <v>0</v>
      </c>
      <c r="F253">
        <f t="shared" si="10"/>
        <v>1</v>
      </c>
      <c r="G253">
        <f t="shared" si="11"/>
        <v>0</v>
      </c>
    </row>
    <row r="254" spans="1:7" ht="15.75" customHeight="1" x14ac:dyDescent="0.25">
      <c r="A254" s="33">
        <v>13</v>
      </c>
      <c r="B254" s="34">
        <v>7.88</v>
      </c>
      <c r="C254" s="36">
        <v>67.95</v>
      </c>
      <c r="D254" s="33" t="s">
        <v>9</v>
      </c>
      <c r="E254">
        <f t="shared" si="9"/>
        <v>0</v>
      </c>
      <c r="F254">
        <f t="shared" si="10"/>
        <v>1</v>
      </c>
      <c r="G254">
        <f t="shared" si="11"/>
        <v>0</v>
      </c>
    </row>
    <row r="255" spans="1:7" ht="15.75" customHeight="1" x14ac:dyDescent="0.25">
      <c r="A255" s="33">
        <v>52</v>
      </c>
      <c r="B255" s="34">
        <v>5.58</v>
      </c>
      <c r="C255" s="36">
        <v>50.66</v>
      </c>
      <c r="D255" s="33" t="s">
        <v>9</v>
      </c>
      <c r="E255">
        <f t="shared" si="9"/>
        <v>0</v>
      </c>
      <c r="F255">
        <f t="shared" si="10"/>
        <v>1</v>
      </c>
      <c r="G255">
        <f t="shared" si="11"/>
        <v>0</v>
      </c>
    </row>
    <row r="256" spans="1:7" ht="15.75" customHeight="1" x14ac:dyDescent="0.25">
      <c r="A256" s="33">
        <v>25</v>
      </c>
      <c r="B256" s="34">
        <v>4.32</v>
      </c>
      <c r="C256" s="36">
        <v>31.48</v>
      </c>
      <c r="D256" s="33" t="s">
        <v>9</v>
      </c>
      <c r="E256">
        <f t="shared" si="9"/>
        <v>0</v>
      </c>
      <c r="F256">
        <f t="shared" si="10"/>
        <v>1</v>
      </c>
      <c r="G256">
        <f t="shared" si="11"/>
        <v>0</v>
      </c>
    </row>
    <row r="257" spans="1:7" ht="15.75" customHeight="1" x14ac:dyDescent="0.25">
      <c r="A257" s="33">
        <v>13</v>
      </c>
      <c r="B257" s="34">
        <v>5.2</v>
      </c>
      <c r="C257" s="36">
        <v>37.39</v>
      </c>
      <c r="D257" s="33" t="s">
        <v>9</v>
      </c>
      <c r="E257">
        <f t="shared" si="9"/>
        <v>0</v>
      </c>
      <c r="F257">
        <f t="shared" si="10"/>
        <v>1</v>
      </c>
      <c r="G257">
        <f t="shared" si="11"/>
        <v>0</v>
      </c>
    </row>
    <row r="258" spans="1:7" ht="15.75" customHeight="1" x14ac:dyDescent="0.25">
      <c r="A258" s="33">
        <v>5</v>
      </c>
      <c r="B258" s="34">
        <v>4.04</v>
      </c>
      <c r="C258" s="36">
        <v>51.67</v>
      </c>
      <c r="D258" s="33" t="s">
        <v>9</v>
      </c>
      <c r="E258">
        <f t="shared" ref="E258:E321" si="12">IF(D258="bien de conso.",1,0)</f>
        <v>0</v>
      </c>
      <c r="F258">
        <f t="shared" ref="F258:F321" si="13">IF($D258="nourriture",1,0)</f>
        <v>1</v>
      </c>
      <c r="G258">
        <f t="shared" ref="G258:G321" si="14">IF($D258="high tech",1,0)</f>
        <v>0</v>
      </c>
    </row>
    <row r="259" spans="1:7" ht="15.75" customHeight="1" x14ac:dyDescent="0.25">
      <c r="A259" s="33">
        <v>13</v>
      </c>
      <c r="B259" s="34">
        <v>4.7699999999999996</v>
      </c>
      <c r="C259" s="36">
        <v>43.81</v>
      </c>
      <c r="D259" s="33" t="s">
        <v>9</v>
      </c>
      <c r="E259">
        <f t="shared" si="12"/>
        <v>0</v>
      </c>
      <c r="F259">
        <f t="shared" si="13"/>
        <v>1</v>
      </c>
      <c r="G259">
        <f t="shared" si="14"/>
        <v>0</v>
      </c>
    </row>
    <row r="260" spans="1:7" ht="15.75" customHeight="1" x14ac:dyDescent="0.25">
      <c r="A260" s="33">
        <v>51</v>
      </c>
      <c r="B260" s="34">
        <v>8.34</v>
      </c>
      <c r="C260" s="36">
        <v>70.430000000000007</v>
      </c>
      <c r="D260" s="33" t="s">
        <v>9</v>
      </c>
      <c r="E260">
        <f t="shared" si="12"/>
        <v>0</v>
      </c>
      <c r="F260">
        <f t="shared" si="13"/>
        <v>1</v>
      </c>
      <c r="G260">
        <f t="shared" si="14"/>
        <v>0</v>
      </c>
    </row>
    <row r="261" spans="1:7" ht="15.75" customHeight="1" x14ac:dyDescent="0.25">
      <c r="A261" s="33">
        <v>14</v>
      </c>
      <c r="B261" s="34">
        <v>9.3800000000000008</v>
      </c>
      <c r="C261" s="36">
        <v>79.900000000000006</v>
      </c>
      <c r="D261" s="33" t="s">
        <v>9</v>
      </c>
      <c r="E261">
        <f t="shared" si="12"/>
        <v>0</v>
      </c>
      <c r="F261">
        <f t="shared" si="13"/>
        <v>1</v>
      </c>
      <c r="G261">
        <f t="shared" si="14"/>
        <v>0</v>
      </c>
    </row>
    <row r="262" spans="1:7" ht="15.75" customHeight="1" x14ac:dyDescent="0.25">
      <c r="A262" s="33">
        <v>8</v>
      </c>
      <c r="B262" s="34">
        <v>9.66</v>
      </c>
      <c r="C262" s="36">
        <v>63.34</v>
      </c>
      <c r="D262" s="33" t="s">
        <v>9</v>
      </c>
      <c r="E262">
        <f t="shared" si="12"/>
        <v>0</v>
      </c>
      <c r="F262">
        <f t="shared" si="13"/>
        <v>1</v>
      </c>
      <c r="G262">
        <f t="shared" si="14"/>
        <v>0</v>
      </c>
    </row>
    <row r="263" spans="1:7" ht="15.75" customHeight="1" x14ac:dyDescent="0.25">
      <c r="A263" s="33">
        <v>48</v>
      </c>
      <c r="B263" s="34">
        <v>4</v>
      </c>
      <c r="C263" s="36">
        <v>30.62</v>
      </c>
      <c r="D263" s="33" t="s">
        <v>9</v>
      </c>
      <c r="E263">
        <f t="shared" si="12"/>
        <v>0</v>
      </c>
      <c r="F263">
        <f t="shared" si="13"/>
        <v>1</v>
      </c>
      <c r="G263">
        <f t="shared" si="14"/>
        <v>0</v>
      </c>
    </row>
    <row r="264" spans="1:7" ht="15.75" customHeight="1" x14ac:dyDescent="0.25">
      <c r="A264" s="33">
        <v>38</v>
      </c>
      <c r="B264" s="34">
        <v>7.31</v>
      </c>
      <c r="C264" s="36">
        <v>51.36</v>
      </c>
      <c r="D264" s="33" t="s">
        <v>9</v>
      </c>
      <c r="E264">
        <f t="shared" si="12"/>
        <v>0</v>
      </c>
      <c r="F264">
        <f t="shared" si="13"/>
        <v>1</v>
      </c>
      <c r="G264">
        <f t="shared" si="14"/>
        <v>0</v>
      </c>
    </row>
    <row r="265" spans="1:7" ht="15.75" customHeight="1" x14ac:dyDescent="0.25">
      <c r="A265" s="33">
        <v>51</v>
      </c>
      <c r="B265" s="34">
        <v>7.45</v>
      </c>
      <c r="C265" s="36">
        <v>62.85</v>
      </c>
      <c r="D265" s="33" t="s">
        <v>9</v>
      </c>
      <c r="E265">
        <f t="shared" si="12"/>
        <v>0</v>
      </c>
      <c r="F265">
        <f t="shared" si="13"/>
        <v>1</v>
      </c>
      <c r="G265">
        <f t="shared" si="14"/>
        <v>0</v>
      </c>
    </row>
    <row r="266" spans="1:7" ht="15.75" customHeight="1" x14ac:dyDescent="0.25">
      <c r="A266" s="33">
        <v>17</v>
      </c>
      <c r="B266" s="34">
        <v>9.66</v>
      </c>
      <c r="C266" s="36">
        <v>55.39</v>
      </c>
      <c r="D266" s="33" t="s">
        <v>9</v>
      </c>
      <c r="E266">
        <f t="shared" si="12"/>
        <v>0</v>
      </c>
      <c r="F266">
        <f t="shared" si="13"/>
        <v>1</v>
      </c>
      <c r="G266">
        <f t="shared" si="14"/>
        <v>0</v>
      </c>
    </row>
    <row r="267" spans="1:7" ht="15.75" customHeight="1" x14ac:dyDescent="0.25">
      <c r="A267" s="33">
        <v>38</v>
      </c>
      <c r="B267" s="34">
        <v>9.24</v>
      </c>
      <c r="C267" s="36">
        <v>91.7</v>
      </c>
      <c r="D267" s="33" t="s">
        <v>9</v>
      </c>
      <c r="E267">
        <f t="shared" si="12"/>
        <v>0</v>
      </c>
      <c r="F267">
        <f t="shared" si="13"/>
        <v>1</v>
      </c>
      <c r="G267">
        <f t="shared" si="14"/>
        <v>0</v>
      </c>
    </row>
    <row r="268" spans="1:7" ht="15.75" customHeight="1" x14ac:dyDescent="0.25">
      <c r="A268" s="33">
        <v>47</v>
      </c>
      <c r="B268" s="34">
        <v>4.5</v>
      </c>
      <c r="C268" s="36">
        <v>64.67</v>
      </c>
      <c r="D268" s="33" t="s">
        <v>9</v>
      </c>
      <c r="E268">
        <f t="shared" si="12"/>
        <v>0</v>
      </c>
      <c r="F268">
        <f t="shared" si="13"/>
        <v>1</v>
      </c>
      <c r="G268">
        <f t="shared" si="14"/>
        <v>0</v>
      </c>
    </row>
    <row r="269" spans="1:7" ht="15.75" customHeight="1" x14ac:dyDescent="0.25">
      <c r="A269" s="33">
        <v>19</v>
      </c>
      <c r="B269" s="34">
        <v>7.3</v>
      </c>
      <c r="C269" s="36">
        <v>66.13</v>
      </c>
      <c r="D269" s="33" t="s">
        <v>9</v>
      </c>
      <c r="E269">
        <f t="shared" si="12"/>
        <v>0</v>
      </c>
      <c r="F269">
        <f t="shared" si="13"/>
        <v>1</v>
      </c>
      <c r="G269">
        <f t="shared" si="14"/>
        <v>0</v>
      </c>
    </row>
    <row r="270" spans="1:7" ht="15.75" customHeight="1" x14ac:dyDescent="0.25">
      <c r="A270" s="33">
        <v>3</v>
      </c>
      <c r="B270" s="34">
        <v>5.44</v>
      </c>
      <c r="C270" s="36">
        <v>47.04</v>
      </c>
      <c r="D270" s="33" t="s">
        <v>9</v>
      </c>
      <c r="E270">
        <f t="shared" si="12"/>
        <v>0</v>
      </c>
      <c r="F270">
        <f t="shared" si="13"/>
        <v>1</v>
      </c>
      <c r="G270">
        <f t="shared" si="14"/>
        <v>0</v>
      </c>
    </row>
    <row r="271" spans="1:7" ht="15.75" customHeight="1" x14ac:dyDescent="0.25">
      <c r="A271" s="33">
        <v>14</v>
      </c>
      <c r="B271" s="34">
        <v>8.1199999999999992</v>
      </c>
      <c r="C271" s="36">
        <v>35.380000000000003</v>
      </c>
      <c r="D271" s="33" t="s">
        <v>9</v>
      </c>
      <c r="E271">
        <f t="shared" si="12"/>
        <v>0</v>
      </c>
      <c r="F271">
        <f t="shared" si="13"/>
        <v>1</v>
      </c>
      <c r="G271">
        <f t="shared" si="14"/>
        <v>0</v>
      </c>
    </row>
    <row r="272" spans="1:7" ht="15.75" customHeight="1" x14ac:dyDescent="0.25">
      <c r="A272" s="33">
        <v>27</v>
      </c>
      <c r="B272" s="34">
        <v>9.7799999999999994</v>
      </c>
      <c r="C272" s="36">
        <v>109.79</v>
      </c>
      <c r="D272" s="33" t="s">
        <v>9</v>
      </c>
      <c r="E272">
        <f t="shared" si="12"/>
        <v>0</v>
      </c>
      <c r="F272">
        <f t="shared" si="13"/>
        <v>1</v>
      </c>
      <c r="G272">
        <f t="shared" si="14"/>
        <v>0</v>
      </c>
    </row>
    <row r="273" spans="1:7" ht="15.75" customHeight="1" x14ac:dyDescent="0.25">
      <c r="A273" s="33">
        <v>30</v>
      </c>
      <c r="B273" s="34">
        <v>6.15</v>
      </c>
      <c r="C273" s="36">
        <v>48.99</v>
      </c>
      <c r="D273" s="33" t="s">
        <v>9</v>
      </c>
      <c r="E273">
        <f t="shared" si="12"/>
        <v>0</v>
      </c>
      <c r="F273">
        <f t="shared" si="13"/>
        <v>1</v>
      </c>
      <c r="G273">
        <f t="shared" si="14"/>
        <v>0</v>
      </c>
    </row>
    <row r="274" spans="1:7" ht="15.75" customHeight="1" x14ac:dyDescent="0.25">
      <c r="A274" s="33">
        <v>42</v>
      </c>
      <c r="B274" s="34">
        <v>7.33</v>
      </c>
      <c r="C274" s="36">
        <v>84.13</v>
      </c>
      <c r="D274" s="33" t="s">
        <v>9</v>
      </c>
      <c r="E274">
        <f t="shared" si="12"/>
        <v>0</v>
      </c>
      <c r="F274">
        <f t="shared" si="13"/>
        <v>1</v>
      </c>
      <c r="G274">
        <f t="shared" si="14"/>
        <v>0</v>
      </c>
    </row>
    <row r="275" spans="1:7" ht="15.75" customHeight="1" x14ac:dyDescent="0.25">
      <c r="A275" s="33">
        <v>34</v>
      </c>
      <c r="B275" s="34">
        <v>5.59</v>
      </c>
      <c r="C275" s="36">
        <v>58.41</v>
      </c>
      <c r="D275" s="33" t="s">
        <v>9</v>
      </c>
      <c r="E275">
        <f t="shared" si="12"/>
        <v>0</v>
      </c>
      <c r="F275">
        <f t="shared" si="13"/>
        <v>1</v>
      </c>
      <c r="G275">
        <f t="shared" si="14"/>
        <v>0</v>
      </c>
    </row>
    <row r="276" spans="1:7" ht="15.75" customHeight="1" x14ac:dyDescent="0.25">
      <c r="A276" s="33">
        <v>3</v>
      </c>
      <c r="B276" s="34">
        <v>5.0999999999999996</v>
      </c>
      <c r="C276" s="36">
        <v>38.1</v>
      </c>
      <c r="D276" s="33" t="s">
        <v>9</v>
      </c>
      <c r="E276">
        <f t="shared" si="12"/>
        <v>0</v>
      </c>
      <c r="F276">
        <f t="shared" si="13"/>
        <v>1</v>
      </c>
      <c r="G276">
        <f t="shared" si="14"/>
        <v>0</v>
      </c>
    </row>
    <row r="277" spans="1:7" ht="15.75" customHeight="1" x14ac:dyDescent="0.25">
      <c r="A277" s="33">
        <v>14</v>
      </c>
      <c r="B277" s="34">
        <v>7.73</v>
      </c>
      <c r="C277" s="36">
        <v>66.22</v>
      </c>
      <c r="D277" s="33" t="s">
        <v>9</v>
      </c>
      <c r="E277">
        <f t="shared" si="12"/>
        <v>0</v>
      </c>
      <c r="F277">
        <f t="shared" si="13"/>
        <v>1</v>
      </c>
      <c r="G277">
        <f t="shared" si="14"/>
        <v>0</v>
      </c>
    </row>
    <row r="278" spans="1:7" ht="15.75" customHeight="1" x14ac:dyDescent="0.25">
      <c r="A278" s="33">
        <v>32</v>
      </c>
      <c r="B278" s="34">
        <v>9.74</v>
      </c>
      <c r="C278" s="36">
        <v>89.32</v>
      </c>
      <c r="D278" s="33" t="s">
        <v>9</v>
      </c>
      <c r="E278">
        <f t="shared" si="12"/>
        <v>0</v>
      </c>
      <c r="F278">
        <f t="shared" si="13"/>
        <v>1</v>
      </c>
      <c r="G278">
        <f t="shared" si="14"/>
        <v>0</v>
      </c>
    </row>
    <row r="279" spans="1:7" ht="15.75" customHeight="1" x14ac:dyDescent="0.25">
      <c r="A279" s="33">
        <v>6</v>
      </c>
      <c r="B279" s="34">
        <v>7.33</v>
      </c>
      <c r="C279" s="36">
        <v>71.599999999999994</v>
      </c>
      <c r="D279" s="33" t="s">
        <v>9</v>
      </c>
      <c r="E279">
        <f t="shared" si="12"/>
        <v>0</v>
      </c>
      <c r="F279">
        <f t="shared" si="13"/>
        <v>1</v>
      </c>
      <c r="G279">
        <f t="shared" si="14"/>
        <v>0</v>
      </c>
    </row>
    <row r="280" spans="1:7" ht="15.75" customHeight="1" x14ac:dyDescent="0.25">
      <c r="A280" s="33">
        <v>38</v>
      </c>
      <c r="B280" s="34">
        <v>9.8800000000000008</v>
      </c>
      <c r="C280" s="36">
        <v>51.89</v>
      </c>
      <c r="D280" s="33" t="s">
        <v>9</v>
      </c>
      <c r="E280">
        <f t="shared" si="12"/>
        <v>0</v>
      </c>
      <c r="F280">
        <f t="shared" si="13"/>
        <v>1</v>
      </c>
      <c r="G280">
        <f t="shared" si="14"/>
        <v>0</v>
      </c>
    </row>
    <row r="281" spans="1:7" ht="15.75" customHeight="1" x14ac:dyDescent="0.25">
      <c r="A281" s="33">
        <v>7</v>
      </c>
      <c r="B281" s="34">
        <v>8.17</v>
      </c>
      <c r="C281" s="36">
        <v>65.260000000000005</v>
      </c>
      <c r="D281" s="33" t="s">
        <v>9</v>
      </c>
      <c r="E281">
        <f t="shared" si="12"/>
        <v>0</v>
      </c>
      <c r="F281">
        <f t="shared" si="13"/>
        <v>1</v>
      </c>
      <c r="G281">
        <f t="shared" si="14"/>
        <v>0</v>
      </c>
    </row>
    <row r="282" spans="1:7" ht="15.75" customHeight="1" x14ac:dyDescent="0.25">
      <c r="A282" s="33">
        <v>42</v>
      </c>
      <c r="B282" s="34">
        <v>6.71</v>
      </c>
      <c r="C282" s="36">
        <v>70.739999999999995</v>
      </c>
      <c r="D282" s="33" t="s">
        <v>9</v>
      </c>
      <c r="E282">
        <f t="shared" si="12"/>
        <v>0</v>
      </c>
      <c r="F282">
        <f t="shared" si="13"/>
        <v>1</v>
      </c>
      <c r="G282">
        <f t="shared" si="14"/>
        <v>0</v>
      </c>
    </row>
    <row r="283" spans="1:7" ht="15.75" customHeight="1" x14ac:dyDescent="0.25">
      <c r="A283" s="33">
        <v>24</v>
      </c>
      <c r="B283" s="34">
        <v>6.85</v>
      </c>
      <c r="C283" s="36">
        <v>62.56</v>
      </c>
      <c r="D283" s="33" t="s">
        <v>9</v>
      </c>
      <c r="E283">
        <f t="shared" si="12"/>
        <v>0</v>
      </c>
      <c r="F283">
        <f t="shared" si="13"/>
        <v>1</v>
      </c>
      <c r="G283">
        <f t="shared" si="14"/>
        <v>0</v>
      </c>
    </row>
    <row r="284" spans="1:7" ht="15.75" customHeight="1" x14ac:dyDescent="0.25">
      <c r="A284" s="33">
        <v>12</v>
      </c>
      <c r="B284" s="34">
        <v>5.61</v>
      </c>
      <c r="C284" s="36">
        <v>83.08</v>
      </c>
      <c r="D284" s="33" t="s">
        <v>9</v>
      </c>
      <c r="E284">
        <f t="shared" si="12"/>
        <v>0</v>
      </c>
      <c r="F284">
        <f t="shared" si="13"/>
        <v>1</v>
      </c>
      <c r="G284">
        <f t="shared" si="14"/>
        <v>0</v>
      </c>
    </row>
    <row r="285" spans="1:7" ht="15.75" customHeight="1" x14ac:dyDescent="0.25">
      <c r="A285" s="33">
        <v>33</v>
      </c>
      <c r="B285" s="34">
        <v>8.6199999999999992</v>
      </c>
      <c r="C285" s="36">
        <v>71.040000000000006</v>
      </c>
      <c r="D285" s="33" t="s">
        <v>9</v>
      </c>
      <c r="E285">
        <f t="shared" si="12"/>
        <v>0</v>
      </c>
      <c r="F285">
        <f t="shared" si="13"/>
        <v>1</v>
      </c>
      <c r="G285">
        <f t="shared" si="14"/>
        <v>0</v>
      </c>
    </row>
    <row r="286" spans="1:7" ht="15.75" customHeight="1" x14ac:dyDescent="0.25">
      <c r="A286" s="33">
        <v>1</v>
      </c>
      <c r="B286" s="34">
        <v>6.73</v>
      </c>
      <c r="C286" s="36">
        <v>44.64</v>
      </c>
      <c r="D286" s="33" t="s">
        <v>9</v>
      </c>
      <c r="E286">
        <f t="shared" si="12"/>
        <v>0</v>
      </c>
      <c r="F286">
        <f t="shared" si="13"/>
        <v>1</v>
      </c>
      <c r="G286">
        <f t="shared" si="14"/>
        <v>0</v>
      </c>
    </row>
    <row r="287" spans="1:7" ht="15.75" customHeight="1" x14ac:dyDescent="0.25">
      <c r="A287" s="33">
        <v>30</v>
      </c>
      <c r="B287" s="34">
        <v>8.27</v>
      </c>
      <c r="C287" s="36">
        <v>46.56</v>
      </c>
      <c r="D287" s="33" t="s">
        <v>9</v>
      </c>
      <c r="E287">
        <f t="shared" si="12"/>
        <v>0</v>
      </c>
      <c r="F287">
        <f t="shared" si="13"/>
        <v>1</v>
      </c>
      <c r="G287">
        <f t="shared" si="14"/>
        <v>0</v>
      </c>
    </row>
    <row r="288" spans="1:7" ht="15.75" customHeight="1" x14ac:dyDescent="0.25">
      <c r="A288" s="33">
        <v>43</v>
      </c>
      <c r="B288" s="34">
        <v>7</v>
      </c>
      <c r="C288" s="36">
        <v>38.090000000000003</v>
      </c>
      <c r="D288" s="33" t="s">
        <v>9</v>
      </c>
      <c r="E288">
        <f t="shared" si="12"/>
        <v>0</v>
      </c>
      <c r="F288">
        <f t="shared" si="13"/>
        <v>1</v>
      </c>
      <c r="G288">
        <f t="shared" si="14"/>
        <v>0</v>
      </c>
    </row>
    <row r="289" spans="1:7" ht="15.75" customHeight="1" x14ac:dyDescent="0.25">
      <c r="A289" s="33">
        <v>49</v>
      </c>
      <c r="B289" s="34">
        <v>6.69</v>
      </c>
      <c r="C289" s="36">
        <v>66.430000000000007</v>
      </c>
      <c r="D289" s="33" t="s">
        <v>9</v>
      </c>
      <c r="E289">
        <f t="shared" si="12"/>
        <v>0</v>
      </c>
      <c r="F289">
        <f t="shared" si="13"/>
        <v>1</v>
      </c>
      <c r="G289">
        <f t="shared" si="14"/>
        <v>0</v>
      </c>
    </row>
    <row r="290" spans="1:7" ht="15.75" customHeight="1" x14ac:dyDescent="0.25">
      <c r="A290" s="33">
        <v>2</v>
      </c>
      <c r="B290" s="34">
        <v>7.76</v>
      </c>
      <c r="C290" s="36">
        <v>36.99</v>
      </c>
      <c r="D290" s="33" t="s">
        <v>9</v>
      </c>
      <c r="E290">
        <f t="shared" si="12"/>
        <v>0</v>
      </c>
      <c r="F290">
        <f t="shared" si="13"/>
        <v>1</v>
      </c>
      <c r="G290">
        <f t="shared" si="14"/>
        <v>0</v>
      </c>
    </row>
    <row r="291" spans="1:7" ht="15.75" customHeight="1" x14ac:dyDescent="0.25">
      <c r="A291" s="33">
        <v>53</v>
      </c>
      <c r="B291" s="34">
        <v>8.0500000000000007</v>
      </c>
      <c r="C291" s="36">
        <v>99.96</v>
      </c>
      <c r="D291" s="33" t="s">
        <v>9</v>
      </c>
      <c r="E291">
        <f t="shared" si="12"/>
        <v>0</v>
      </c>
      <c r="F291">
        <f t="shared" si="13"/>
        <v>1</v>
      </c>
      <c r="G291">
        <f t="shared" si="14"/>
        <v>0</v>
      </c>
    </row>
    <row r="292" spans="1:7" ht="15.75" customHeight="1" x14ac:dyDescent="0.25">
      <c r="A292" s="33">
        <v>9</v>
      </c>
      <c r="B292" s="34">
        <v>6.81</v>
      </c>
      <c r="C292" s="36">
        <v>70.040000000000006</v>
      </c>
      <c r="D292" s="33" t="s">
        <v>9</v>
      </c>
      <c r="E292">
        <f t="shared" si="12"/>
        <v>0</v>
      </c>
      <c r="F292">
        <f t="shared" si="13"/>
        <v>1</v>
      </c>
      <c r="G292">
        <f t="shared" si="14"/>
        <v>0</v>
      </c>
    </row>
    <row r="293" spans="1:7" ht="15.75" customHeight="1" x14ac:dyDescent="0.25">
      <c r="A293" s="33">
        <v>24</v>
      </c>
      <c r="B293" s="34">
        <v>9.31</v>
      </c>
      <c r="C293" s="36">
        <v>77.760000000000005</v>
      </c>
      <c r="D293" s="33" t="s">
        <v>9</v>
      </c>
      <c r="E293">
        <f t="shared" si="12"/>
        <v>0</v>
      </c>
      <c r="F293">
        <f t="shared" si="13"/>
        <v>1</v>
      </c>
      <c r="G293">
        <f t="shared" si="14"/>
        <v>0</v>
      </c>
    </row>
    <row r="294" spans="1:7" ht="15.75" customHeight="1" x14ac:dyDescent="0.25">
      <c r="A294" s="33">
        <v>27</v>
      </c>
      <c r="B294" s="34">
        <v>4.1100000000000003</v>
      </c>
      <c r="C294" s="36">
        <v>36.31</v>
      </c>
      <c r="D294" s="33" t="s">
        <v>9</v>
      </c>
      <c r="E294">
        <f t="shared" si="12"/>
        <v>0</v>
      </c>
      <c r="F294">
        <f t="shared" si="13"/>
        <v>1</v>
      </c>
      <c r="G294">
        <f t="shared" si="14"/>
        <v>0</v>
      </c>
    </row>
    <row r="295" spans="1:7" ht="15.75" customHeight="1" x14ac:dyDescent="0.25">
      <c r="A295" s="33">
        <v>18</v>
      </c>
      <c r="B295" s="34">
        <v>7.57</v>
      </c>
      <c r="C295" s="36">
        <v>73.78</v>
      </c>
      <c r="D295" s="33" t="s">
        <v>9</v>
      </c>
      <c r="E295">
        <f t="shared" si="12"/>
        <v>0</v>
      </c>
      <c r="F295">
        <f t="shared" si="13"/>
        <v>1</v>
      </c>
      <c r="G295">
        <f t="shared" si="14"/>
        <v>0</v>
      </c>
    </row>
    <row r="296" spans="1:7" ht="15.75" customHeight="1" x14ac:dyDescent="0.25">
      <c r="A296" s="33">
        <v>30</v>
      </c>
      <c r="B296" s="34">
        <v>8.44</v>
      </c>
      <c r="C296" s="36">
        <v>64.36</v>
      </c>
      <c r="D296" s="33" t="s">
        <v>9</v>
      </c>
      <c r="E296">
        <f t="shared" si="12"/>
        <v>0</v>
      </c>
      <c r="F296">
        <f t="shared" si="13"/>
        <v>1</v>
      </c>
      <c r="G296">
        <f t="shared" si="14"/>
        <v>0</v>
      </c>
    </row>
    <row r="297" spans="1:7" ht="15.75" customHeight="1" x14ac:dyDescent="0.25">
      <c r="A297" s="33">
        <v>20</v>
      </c>
      <c r="B297" s="34">
        <v>7.69</v>
      </c>
      <c r="C297" s="36">
        <v>57.42</v>
      </c>
      <c r="D297" s="33" t="s">
        <v>9</v>
      </c>
      <c r="E297">
        <f t="shared" si="12"/>
        <v>0</v>
      </c>
      <c r="F297">
        <f t="shared" si="13"/>
        <v>1</v>
      </c>
      <c r="G297">
        <f t="shared" si="14"/>
        <v>0</v>
      </c>
    </row>
    <row r="298" spans="1:7" ht="15.75" customHeight="1" x14ac:dyDescent="0.25">
      <c r="A298" s="33">
        <v>20</v>
      </c>
      <c r="B298" s="34">
        <v>5.88</v>
      </c>
      <c r="C298" s="36">
        <v>63.1</v>
      </c>
      <c r="D298" s="33" t="s">
        <v>9</v>
      </c>
      <c r="E298">
        <f t="shared" si="12"/>
        <v>0</v>
      </c>
      <c r="F298">
        <f t="shared" si="13"/>
        <v>1</v>
      </c>
      <c r="G298">
        <f t="shared" si="14"/>
        <v>0</v>
      </c>
    </row>
    <row r="299" spans="1:7" ht="15.75" customHeight="1" x14ac:dyDescent="0.25">
      <c r="A299" s="33">
        <v>23</v>
      </c>
      <c r="B299" s="34">
        <v>7.55</v>
      </c>
      <c r="C299" s="36">
        <v>92.22</v>
      </c>
      <c r="D299" s="33" t="s">
        <v>9</v>
      </c>
      <c r="E299">
        <f t="shared" si="12"/>
        <v>0</v>
      </c>
      <c r="F299">
        <f t="shared" si="13"/>
        <v>1</v>
      </c>
      <c r="G299">
        <f t="shared" si="14"/>
        <v>0</v>
      </c>
    </row>
    <row r="300" spans="1:7" ht="15.75" customHeight="1" x14ac:dyDescent="0.25">
      <c r="A300" s="33">
        <v>24</v>
      </c>
      <c r="B300" s="34">
        <v>5.61</v>
      </c>
      <c r="C300" s="36">
        <v>63.19</v>
      </c>
      <c r="D300" s="33" t="s">
        <v>9</v>
      </c>
      <c r="E300">
        <f t="shared" si="12"/>
        <v>0</v>
      </c>
      <c r="F300">
        <f t="shared" si="13"/>
        <v>1</v>
      </c>
      <c r="G300">
        <f t="shared" si="14"/>
        <v>0</v>
      </c>
    </row>
    <row r="301" spans="1:7" ht="15.75" customHeight="1" x14ac:dyDescent="0.25">
      <c r="A301" s="33">
        <v>26</v>
      </c>
      <c r="B301" s="34">
        <v>5.3</v>
      </c>
      <c r="C301" s="36">
        <v>30.67</v>
      </c>
      <c r="D301" s="33" t="s">
        <v>9</v>
      </c>
      <c r="E301">
        <f t="shared" si="12"/>
        <v>0</v>
      </c>
      <c r="F301">
        <f t="shared" si="13"/>
        <v>1</v>
      </c>
      <c r="G301">
        <f t="shared" si="14"/>
        <v>0</v>
      </c>
    </row>
    <row r="302" spans="1:7" ht="15.75" customHeight="1" x14ac:dyDescent="0.25">
      <c r="A302" s="33">
        <v>31</v>
      </c>
      <c r="B302" s="34">
        <v>8.94</v>
      </c>
      <c r="C302" s="36">
        <v>49.92</v>
      </c>
      <c r="D302" s="33" t="s">
        <v>9</v>
      </c>
      <c r="E302">
        <f t="shared" si="12"/>
        <v>0</v>
      </c>
      <c r="F302">
        <f t="shared" si="13"/>
        <v>1</v>
      </c>
      <c r="G302">
        <f t="shared" si="14"/>
        <v>0</v>
      </c>
    </row>
    <row r="303" spans="1:7" ht="15.75" customHeight="1" x14ac:dyDescent="0.25">
      <c r="A303" s="33">
        <v>28</v>
      </c>
      <c r="B303" s="34">
        <v>4.1399999999999997</v>
      </c>
      <c r="C303" s="36">
        <v>22.54</v>
      </c>
      <c r="D303" s="33" t="s">
        <v>9</v>
      </c>
      <c r="E303">
        <f t="shared" si="12"/>
        <v>0</v>
      </c>
      <c r="F303">
        <f t="shared" si="13"/>
        <v>1</v>
      </c>
      <c r="G303">
        <f t="shared" si="14"/>
        <v>0</v>
      </c>
    </row>
    <row r="304" spans="1:7" ht="15.75" customHeight="1" x14ac:dyDescent="0.25">
      <c r="A304" s="33">
        <v>20</v>
      </c>
      <c r="B304" s="34">
        <v>6.68</v>
      </c>
      <c r="C304" s="36">
        <v>74.41</v>
      </c>
      <c r="D304" s="33" t="s">
        <v>9</v>
      </c>
      <c r="E304">
        <f t="shared" si="12"/>
        <v>0</v>
      </c>
      <c r="F304">
        <f t="shared" si="13"/>
        <v>1</v>
      </c>
      <c r="G304">
        <f t="shared" si="14"/>
        <v>0</v>
      </c>
    </row>
    <row r="305" spans="1:7" ht="15.75" customHeight="1" x14ac:dyDescent="0.25">
      <c r="A305" s="33">
        <v>35</v>
      </c>
      <c r="B305" s="34">
        <v>8.08</v>
      </c>
      <c r="C305" s="36">
        <v>53.62</v>
      </c>
      <c r="D305" s="33" t="s">
        <v>9</v>
      </c>
      <c r="E305">
        <f t="shared" si="12"/>
        <v>0</v>
      </c>
      <c r="F305">
        <f t="shared" si="13"/>
        <v>1</v>
      </c>
      <c r="G305">
        <f t="shared" si="14"/>
        <v>0</v>
      </c>
    </row>
    <row r="306" spans="1:7" ht="15.75" customHeight="1" x14ac:dyDescent="0.25">
      <c r="A306" s="33">
        <v>35</v>
      </c>
      <c r="B306" s="34">
        <v>6.33</v>
      </c>
      <c r="C306" s="36">
        <v>47.69</v>
      </c>
      <c r="D306" s="33" t="s">
        <v>9</v>
      </c>
      <c r="E306">
        <f t="shared" si="12"/>
        <v>0</v>
      </c>
      <c r="F306">
        <f t="shared" si="13"/>
        <v>1</v>
      </c>
      <c r="G306">
        <f t="shared" si="14"/>
        <v>0</v>
      </c>
    </row>
    <row r="307" spans="1:7" ht="15.75" customHeight="1" x14ac:dyDescent="0.25">
      <c r="A307" s="33">
        <v>16</v>
      </c>
      <c r="B307" s="34">
        <v>9.99</v>
      </c>
      <c r="C307" s="36">
        <v>64.83</v>
      </c>
      <c r="D307" s="33" t="s">
        <v>9</v>
      </c>
      <c r="E307">
        <f t="shared" si="12"/>
        <v>0</v>
      </c>
      <c r="F307">
        <f t="shared" si="13"/>
        <v>1</v>
      </c>
      <c r="G307">
        <f t="shared" si="14"/>
        <v>0</v>
      </c>
    </row>
    <row r="308" spans="1:7" ht="15.75" customHeight="1" x14ac:dyDescent="0.25">
      <c r="A308" s="33">
        <v>4</v>
      </c>
      <c r="B308" s="34">
        <v>5.83</v>
      </c>
      <c r="C308" s="36">
        <v>56.59</v>
      </c>
      <c r="D308" s="33" t="s">
        <v>9</v>
      </c>
      <c r="E308">
        <f t="shared" si="12"/>
        <v>0</v>
      </c>
      <c r="F308">
        <f t="shared" si="13"/>
        <v>1</v>
      </c>
      <c r="G308">
        <f t="shared" si="14"/>
        <v>0</v>
      </c>
    </row>
    <row r="309" spans="1:7" ht="15.75" customHeight="1" x14ac:dyDescent="0.25">
      <c r="A309" s="33">
        <v>2</v>
      </c>
      <c r="B309" s="34">
        <v>8.5399999999999991</v>
      </c>
      <c r="C309" s="36">
        <v>86.36</v>
      </c>
      <c r="D309" s="33" t="s">
        <v>9</v>
      </c>
      <c r="E309">
        <f t="shared" si="12"/>
        <v>0</v>
      </c>
      <c r="F309">
        <f t="shared" si="13"/>
        <v>1</v>
      </c>
      <c r="G309">
        <f t="shared" si="14"/>
        <v>0</v>
      </c>
    </row>
    <row r="310" spans="1:7" ht="15.75" customHeight="1" x14ac:dyDescent="0.25">
      <c r="A310" s="33">
        <v>30</v>
      </c>
      <c r="B310" s="34">
        <v>7.18</v>
      </c>
      <c r="C310" s="36">
        <v>22.58</v>
      </c>
      <c r="D310" s="33" t="s">
        <v>9</v>
      </c>
      <c r="E310">
        <f t="shared" si="12"/>
        <v>0</v>
      </c>
      <c r="F310">
        <f t="shared" si="13"/>
        <v>1</v>
      </c>
      <c r="G310">
        <f t="shared" si="14"/>
        <v>0</v>
      </c>
    </row>
    <row r="311" spans="1:7" ht="15.75" customHeight="1" x14ac:dyDescent="0.25">
      <c r="A311" s="33">
        <v>32</v>
      </c>
      <c r="B311" s="34">
        <v>8.8000000000000007</v>
      </c>
      <c r="C311" s="36">
        <v>115.37</v>
      </c>
      <c r="D311" s="33" t="s">
        <v>9</v>
      </c>
      <c r="E311">
        <f t="shared" si="12"/>
        <v>0</v>
      </c>
      <c r="F311">
        <f t="shared" si="13"/>
        <v>1</v>
      </c>
      <c r="G311">
        <f t="shared" si="14"/>
        <v>0</v>
      </c>
    </row>
    <row r="312" spans="1:7" ht="15.75" customHeight="1" x14ac:dyDescent="0.25">
      <c r="A312" s="33">
        <v>35</v>
      </c>
      <c r="B312" s="34">
        <v>9.33</v>
      </c>
      <c r="C312" s="36">
        <v>84.48</v>
      </c>
      <c r="D312" s="33" t="s">
        <v>9</v>
      </c>
      <c r="E312">
        <f t="shared" si="12"/>
        <v>0</v>
      </c>
      <c r="F312">
        <f t="shared" si="13"/>
        <v>1</v>
      </c>
      <c r="G312">
        <f t="shared" si="14"/>
        <v>0</v>
      </c>
    </row>
    <row r="313" spans="1:7" ht="15.75" customHeight="1" x14ac:dyDescent="0.25">
      <c r="A313" s="33">
        <v>15</v>
      </c>
      <c r="B313" s="34">
        <v>8.98</v>
      </c>
      <c r="C313" s="36">
        <v>47.37</v>
      </c>
      <c r="D313" s="33" t="s">
        <v>9</v>
      </c>
      <c r="E313">
        <f t="shared" si="12"/>
        <v>0</v>
      </c>
      <c r="F313">
        <f t="shared" si="13"/>
        <v>1</v>
      </c>
      <c r="G313">
        <f t="shared" si="14"/>
        <v>0</v>
      </c>
    </row>
    <row r="314" spans="1:7" ht="15.75" customHeight="1" x14ac:dyDescent="0.25">
      <c r="A314" s="33">
        <v>18</v>
      </c>
      <c r="B314" s="34">
        <v>6.84</v>
      </c>
      <c r="C314" s="36">
        <v>81.88</v>
      </c>
      <c r="D314" s="33" t="s">
        <v>9</v>
      </c>
      <c r="E314">
        <f t="shared" si="12"/>
        <v>0</v>
      </c>
      <c r="F314">
        <f t="shared" si="13"/>
        <v>1</v>
      </c>
      <c r="G314">
        <f t="shared" si="14"/>
        <v>0</v>
      </c>
    </row>
    <row r="315" spans="1:7" ht="15.75" customHeight="1" x14ac:dyDescent="0.25">
      <c r="A315" s="33">
        <v>5</v>
      </c>
      <c r="B315" s="34">
        <v>7.66</v>
      </c>
      <c r="C315" s="36">
        <v>69.099999999999994</v>
      </c>
      <c r="D315" s="33" t="s">
        <v>9</v>
      </c>
      <c r="E315">
        <f t="shared" si="12"/>
        <v>0</v>
      </c>
      <c r="F315">
        <f t="shared" si="13"/>
        <v>1</v>
      </c>
      <c r="G315">
        <f t="shared" si="14"/>
        <v>0</v>
      </c>
    </row>
    <row r="316" spans="1:7" ht="15.75" customHeight="1" x14ac:dyDescent="0.25">
      <c r="A316" s="33">
        <v>1</v>
      </c>
      <c r="B316" s="34">
        <v>7.93</v>
      </c>
      <c r="C316" s="36">
        <v>53.17</v>
      </c>
      <c r="D316" s="33" t="s">
        <v>9</v>
      </c>
      <c r="E316">
        <f t="shared" si="12"/>
        <v>0</v>
      </c>
      <c r="F316">
        <f t="shared" si="13"/>
        <v>1</v>
      </c>
      <c r="G316">
        <f t="shared" si="14"/>
        <v>0</v>
      </c>
    </row>
    <row r="317" spans="1:7" ht="15.75" customHeight="1" x14ac:dyDescent="0.25">
      <c r="A317" s="33">
        <v>24</v>
      </c>
      <c r="B317" s="34">
        <v>4</v>
      </c>
      <c r="C317" s="36">
        <v>58.99</v>
      </c>
      <c r="D317" s="33" t="s">
        <v>9</v>
      </c>
      <c r="E317">
        <f t="shared" si="12"/>
        <v>0</v>
      </c>
      <c r="F317">
        <f t="shared" si="13"/>
        <v>1</v>
      </c>
      <c r="G317">
        <f t="shared" si="14"/>
        <v>0</v>
      </c>
    </row>
    <row r="318" spans="1:7" ht="15.75" customHeight="1" x14ac:dyDescent="0.25">
      <c r="A318" s="33">
        <v>25</v>
      </c>
      <c r="B318" s="34">
        <v>5.97</v>
      </c>
      <c r="C318" s="36">
        <v>49.48</v>
      </c>
      <c r="D318" s="33" t="s">
        <v>9</v>
      </c>
      <c r="E318">
        <f t="shared" si="12"/>
        <v>0</v>
      </c>
      <c r="F318">
        <f t="shared" si="13"/>
        <v>1</v>
      </c>
      <c r="G318">
        <f t="shared" si="14"/>
        <v>0</v>
      </c>
    </row>
    <row r="319" spans="1:7" ht="15.75" customHeight="1" x14ac:dyDescent="0.25">
      <c r="A319" s="33">
        <v>46</v>
      </c>
      <c r="B319" s="34">
        <v>5.45</v>
      </c>
      <c r="C319" s="36">
        <v>53</v>
      </c>
      <c r="D319" s="33" t="s">
        <v>9</v>
      </c>
      <c r="E319">
        <f t="shared" si="12"/>
        <v>0</v>
      </c>
      <c r="F319">
        <f t="shared" si="13"/>
        <v>1</v>
      </c>
      <c r="G319">
        <f t="shared" si="14"/>
        <v>0</v>
      </c>
    </row>
    <row r="320" spans="1:7" ht="15.75" customHeight="1" x14ac:dyDescent="0.25">
      <c r="A320" s="33">
        <v>20</v>
      </c>
      <c r="B320" s="34">
        <v>4.78</v>
      </c>
      <c r="C320" s="36">
        <v>76.27</v>
      </c>
      <c r="D320" s="33" t="s">
        <v>9</v>
      </c>
      <c r="E320">
        <f t="shared" si="12"/>
        <v>0</v>
      </c>
      <c r="F320">
        <f t="shared" si="13"/>
        <v>1</v>
      </c>
      <c r="G320">
        <f t="shared" si="14"/>
        <v>0</v>
      </c>
    </row>
    <row r="321" spans="1:7" ht="15.75" customHeight="1" x14ac:dyDescent="0.25">
      <c r="A321" s="33">
        <v>48</v>
      </c>
      <c r="B321" s="34">
        <v>5.53</v>
      </c>
      <c r="C321" s="36">
        <v>61.26</v>
      </c>
      <c r="D321" s="33" t="s">
        <v>9</v>
      </c>
      <c r="E321">
        <f t="shared" si="12"/>
        <v>0</v>
      </c>
      <c r="F321">
        <f t="shared" si="13"/>
        <v>1</v>
      </c>
      <c r="G321">
        <f t="shared" si="14"/>
        <v>0</v>
      </c>
    </row>
    <row r="322" spans="1:7" ht="15.75" customHeight="1" x14ac:dyDescent="0.25">
      <c r="A322" s="33">
        <v>17</v>
      </c>
      <c r="B322" s="34">
        <v>9.17</v>
      </c>
      <c r="C322" s="36">
        <v>59.62</v>
      </c>
      <c r="D322" s="33" t="s">
        <v>9</v>
      </c>
      <c r="E322">
        <f t="shared" ref="E322:E385" si="15">IF(D322="bien de conso.",1,0)</f>
        <v>0</v>
      </c>
      <c r="F322">
        <f t="shared" ref="F322:F385" si="16">IF($D322="nourriture",1,0)</f>
        <v>1</v>
      </c>
      <c r="G322">
        <f t="shared" ref="G322:G385" si="17">IF($D322="high tech",1,0)</f>
        <v>0</v>
      </c>
    </row>
    <row r="323" spans="1:7" ht="15.75" customHeight="1" x14ac:dyDescent="0.25">
      <c r="A323" s="33">
        <v>35</v>
      </c>
      <c r="B323" s="34">
        <v>5.05</v>
      </c>
      <c r="C323" s="36">
        <v>74.09</v>
      </c>
      <c r="D323" s="33" t="s">
        <v>9</v>
      </c>
      <c r="E323">
        <f t="shared" si="15"/>
        <v>0</v>
      </c>
      <c r="F323">
        <f t="shared" si="16"/>
        <v>1</v>
      </c>
      <c r="G323">
        <f t="shared" si="17"/>
        <v>0</v>
      </c>
    </row>
    <row r="324" spans="1:7" ht="15.75" customHeight="1" x14ac:dyDescent="0.25">
      <c r="A324" s="33">
        <v>30</v>
      </c>
      <c r="B324" s="34">
        <v>8.6</v>
      </c>
      <c r="C324" s="36">
        <v>42.69</v>
      </c>
      <c r="D324" s="33" t="s">
        <v>9</v>
      </c>
      <c r="E324">
        <f t="shared" si="15"/>
        <v>0</v>
      </c>
      <c r="F324">
        <f t="shared" si="16"/>
        <v>1</v>
      </c>
      <c r="G324">
        <f t="shared" si="17"/>
        <v>0</v>
      </c>
    </row>
    <row r="325" spans="1:7" ht="15.75" customHeight="1" x14ac:dyDescent="0.25">
      <c r="A325" s="33">
        <v>19</v>
      </c>
      <c r="B325" s="34">
        <v>6.41</v>
      </c>
      <c r="C325" s="36">
        <v>26.77</v>
      </c>
      <c r="D325" s="33" t="s">
        <v>9</v>
      </c>
      <c r="E325">
        <f t="shared" si="15"/>
        <v>0</v>
      </c>
      <c r="F325">
        <f t="shared" si="16"/>
        <v>1</v>
      </c>
      <c r="G325">
        <f t="shared" si="17"/>
        <v>0</v>
      </c>
    </row>
    <row r="326" spans="1:7" ht="15.75" customHeight="1" x14ac:dyDescent="0.25">
      <c r="A326" s="33">
        <v>15</v>
      </c>
      <c r="B326" s="34">
        <v>9.25</v>
      </c>
      <c r="C326" s="36">
        <v>82.31</v>
      </c>
      <c r="D326" s="33" t="s">
        <v>9</v>
      </c>
      <c r="E326">
        <f t="shared" si="15"/>
        <v>0</v>
      </c>
      <c r="F326">
        <f t="shared" si="16"/>
        <v>1</v>
      </c>
      <c r="G326">
        <f t="shared" si="17"/>
        <v>0</v>
      </c>
    </row>
    <row r="327" spans="1:7" ht="15.75" customHeight="1" x14ac:dyDescent="0.25">
      <c r="A327" s="33">
        <v>48</v>
      </c>
      <c r="B327" s="34">
        <v>6.78</v>
      </c>
      <c r="C327" s="36">
        <v>73.25</v>
      </c>
      <c r="D327" s="33" t="s">
        <v>9</v>
      </c>
      <c r="E327">
        <f t="shared" si="15"/>
        <v>0</v>
      </c>
      <c r="F327">
        <f t="shared" si="16"/>
        <v>1</v>
      </c>
      <c r="G327">
        <f t="shared" si="17"/>
        <v>0</v>
      </c>
    </row>
    <row r="328" spans="1:7" ht="15.75" customHeight="1" x14ac:dyDescent="0.25">
      <c r="A328" s="33">
        <v>13</v>
      </c>
      <c r="B328" s="34">
        <v>5.42</v>
      </c>
      <c r="C328" s="36">
        <v>35.58</v>
      </c>
      <c r="D328" s="33" t="s">
        <v>9</v>
      </c>
      <c r="E328">
        <f t="shared" si="15"/>
        <v>0</v>
      </c>
      <c r="F328">
        <f t="shared" si="16"/>
        <v>1</v>
      </c>
      <c r="G328">
        <f t="shared" si="17"/>
        <v>0</v>
      </c>
    </row>
    <row r="329" spans="1:7" ht="15.75" customHeight="1" x14ac:dyDescent="0.25">
      <c r="A329" s="33">
        <v>25</v>
      </c>
      <c r="B329" s="34">
        <v>7.37</v>
      </c>
      <c r="C329" s="36">
        <v>19.02</v>
      </c>
      <c r="D329" s="33" t="s">
        <v>9</v>
      </c>
      <c r="E329">
        <f t="shared" si="15"/>
        <v>0</v>
      </c>
      <c r="F329">
        <f t="shared" si="16"/>
        <v>1</v>
      </c>
      <c r="G329">
        <f t="shared" si="17"/>
        <v>0</v>
      </c>
    </row>
    <row r="330" spans="1:7" ht="15.75" customHeight="1" x14ac:dyDescent="0.25">
      <c r="A330" s="33">
        <v>15</v>
      </c>
      <c r="B330" s="34">
        <v>4.96</v>
      </c>
      <c r="C330" s="36">
        <v>76.37</v>
      </c>
      <c r="D330" s="33" t="s">
        <v>9</v>
      </c>
      <c r="E330">
        <f t="shared" si="15"/>
        <v>0</v>
      </c>
      <c r="F330">
        <f t="shared" si="16"/>
        <v>1</v>
      </c>
      <c r="G330">
        <f t="shared" si="17"/>
        <v>0</v>
      </c>
    </row>
    <row r="331" spans="1:7" ht="15.75" customHeight="1" x14ac:dyDescent="0.25">
      <c r="A331" s="33">
        <v>21</v>
      </c>
      <c r="B331" s="34">
        <v>7.27</v>
      </c>
      <c r="C331" s="36">
        <v>64.69</v>
      </c>
      <c r="D331" s="33" t="s">
        <v>9</v>
      </c>
      <c r="E331">
        <f t="shared" si="15"/>
        <v>0</v>
      </c>
      <c r="F331">
        <f t="shared" si="16"/>
        <v>1</v>
      </c>
      <c r="G331">
        <f t="shared" si="17"/>
        <v>0</v>
      </c>
    </row>
    <row r="332" spans="1:7" ht="15.75" customHeight="1" x14ac:dyDescent="0.25">
      <c r="A332" s="33">
        <v>32</v>
      </c>
      <c r="B332" s="34">
        <v>6.31</v>
      </c>
      <c r="C332" s="36">
        <v>21.73</v>
      </c>
      <c r="D332" s="33" t="s">
        <v>9</v>
      </c>
      <c r="E332">
        <f t="shared" si="15"/>
        <v>0</v>
      </c>
      <c r="F332">
        <f t="shared" si="16"/>
        <v>1</v>
      </c>
      <c r="G332">
        <f t="shared" si="17"/>
        <v>0</v>
      </c>
    </row>
    <row r="333" spans="1:7" ht="15.75" customHeight="1" x14ac:dyDescent="0.25">
      <c r="A333" s="33">
        <v>26</v>
      </c>
      <c r="B333" s="34">
        <v>8.91</v>
      </c>
      <c r="C333" s="36">
        <v>47.3</v>
      </c>
      <c r="D333" s="33" t="s">
        <v>9</v>
      </c>
      <c r="E333">
        <f t="shared" si="15"/>
        <v>0</v>
      </c>
      <c r="F333">
        <f t="shared" si="16"/>
        <v>1</v>
      </c>
      <c r="G333">
        <f t="shared" si="17"/>
        <v>0</v>
      </c>
    </row>
    <row r="334" spans="1:7" ht="15.75" customHeight="1" x14ac:dyDescent="0.25">
      <c r="A334" s="33">
        <v>28</v>
      </c>
      <c r="B334" s="34">
        <v>9.8699999999999992</v>
      </c>
      <c r="C334" s="36">
        <v>77.92</v>
      </c>
      <c r="D334" s="33" t="s">
        <v>9</v>
      </c>
      <c r="E334">
        <f t="shared" si="15"/>
        <v>0</v>
      </c>
      <c r="F334">
        <f t="shared" si="16"/>
        <v>1</v>
      </c>
      <c r="G334">
        <f t="shared" si="17"/>
        <v>0</v>
      </c>
    </row>
    <row r="335" spans="1:7" ht="15.75" customHeight="1" x14ac:dyDescent="0.25">
      <c r="A335" s="33">
        <v>5</v>
      </c>
      <c r="B335" s="34">
        <v>4.24</v>
      </c>
      <c r="C335" s="36">
        <v>57.95</v>
      </c>
      <c r="D335" s="33" t="s">
        <v>9</v>
      </c>
      <c r="E335">
        <f t="shared" si="15"/>
        <v>0</v>
      </c>
      <c r="F335">
        <f t="shared" si="16"/>
        <v>1</v>
      </c>
      <c r="G335">
        <f t="shared" si="17"/>
        <v>0</v>
      </c>
    </row>
    <row r="336" spans="1:7" ht="15.75" customHeight="1" x14ac:dyDescent="0.25">
      <c r="A336" s="33">
        <v>21</v>
      </c>
      <c r="B336" s="34">
        <v>4.2</v>
      </c>
      <c r="C336" s="36">
        <v>44.29</v>
      </c>
      <c r="D336" s="33" t="s">
        <v>9</v>
      </c>
      <c r="E336">
        <f t="shared" si="15"/>
        <v>0</v>
      </c>
      <c r="F336">
        <f t="shared" si="16"/>
        <v>1</v>
      </c>
      <c r="G336">
        <f t="shared" si="17"/>
        <v>0</v>
      </c>
    </row>
    <row r="337" spans="1:7" ht="15.75" customHeight="1" x14ac:dyDescent="0.25">
      <c r="A337" s="33">
        <v>35</v>
      </c>
      <c r="B337" s="34">
        <v>5.58</v>
      </c>
      <c r="C337" s="36">
        <v>74.44</v>
      </c>
      <c r="D337" s="33" t="s">
        <v>9</v>
      </c>
      <c r="E337">
        <f t="shared" si="15"/>
        <v>0</v>
      </c>
      <c r="F337">
        <f t="shared" si="16"/>
        <v>1</v>
      </c>
      <c r="G337">
        <f t="shared" si="17"/>
        <v>0</v>
      </c>
    </row>
    <row r="338" spans="1:7" ht="15.75" customHeight="1" x14ac:dyDescent="0.25">
      <c r="A338" s="33">
        <v>9</v>
      </c>
      <c r="B338" s="34">
        <v>5.68</v>
      </c>
      <c r="C338" s="36">
        <v>47.5</v>
      </c>
      <c r="D338" s="33" t="s">
        <v>9</v>
      </c>
      <c r="E338">
        <f t="shared" si="15"/>
        <v>0</v>
      </c>
      <c r="F338">
        <f t="shared" si="16"/>
        <v>1</v>
      </c>
      <c r="G338">
        <f t="shared" si="17"/>
        <v>0</v>
      </c>
    </row>
    <row r="339" spans="1:7" ht="15.75" customHeight="1" x14ac:dyDescent="0.25">
      <c r="A339" s="33">
        <v>15</v>
      </c>
      <c r="B339" s="34">
        <v>9.69</v>
      </c>
      <c r="C339" s="36">
        <v>100.72</v>
      </c>
      <c r="D339" s="33" t="s">
        <v>9</v>
      </c>
      <c r="E339">
        <f t="shared" si="15"/>
        <v>0</v>
      </c>
      <c r="F339">
        <f t="shared" si="16"/>
        <v>1</v>
      </c>
      <c r="G339">
        <f t="shared" si="17"/>
        <v>0</v>
      </c>
    </row>
    <row r="340" spans="1:7" ht="15.75" customHeight="1" x14ac:dyDescent="0.25">
      <c r="A340" s="33">
        <v>36</v>
      </c>
      <c r="B340" s="34">
        <v>8.11</v>
      </c>
      <c r="C340" s="36">
        <v>81.53</v>
      </c>
      <c r="D340" s="33" t="s">
        <v>9</v>
      </c>
      <c r="E340">
        <f t="shared" si="15"/>
        <v>0</v>
      </c>
      <c r="F340">
        <f t="shared" si="16"/>
        <v>1</v>
      </c>
      <c r="G340">
        <f t="shared" si="17"/>
        <v>0</v>
      </c>
    </row>
    <row r="341" spans="1:7" ht="15.75" customHeight="1" x14ac:dyDescent="0.25">
      <c r="A341" s="33">
        <v>20</v>
      </c>
      <c r="B341" s="34">
        <v>5.0999999999999996</v>
      </c>
      <c r="C341" s="36">
        <v>58.17</v>
      </c>
      <c r="D341" s="33" t="s">
        <v>9</v>
      </c>
      <c r="E341">
        <f t="shared" si="15"/>
        <v>0</v>
      </c>
      <c r="F341">
        <f t="shared" si="16"/>
        <v>1</v>
      </c>
      <c r="G341">
        <f t="shared" si="17"/>
        <v>0</v>
      </c>
    </row>
    <row r="342" spans="1:7" ht="15.75" customHeight="1" x14ac:dyDescent="0.25">
      <c r="A342" s="33">
        <v>20</v>
      </c>
      <c r="B342" s="34">
        <v>8.35</v>
      </c>
      <c r="C342" s="36">
        <v>41.23</v>
      </c>
      <c r="D342" s="33" t="s">
        <v>9</v>
      </c>
      <c r="E342">
        <f t="shared" si="15"/>
        <v>0</v>
      </c>
      <c r="F342">
        <f t="shared" si="16"/>
        <v>1</v>
      </c>
      <c r="G342">
        <f t="shared" si="17"/>
        <v>0</v>
      </c>
    </row>
    <row r="343" spans="1:7" ht="15.75" customHeight="1" x14ac:dyDescent="0.25">
      <c r="A343" s="33">
        <v>41</v>
      </c>
      <c r="B343" s="34">
        <v>5.74</v>
      </c>
      <c r="C343" s="36">
        <v>77.319999999999993</v>
      </c>
      <c r="D343" s="33" t="s">
        <v>9</v>
      </c>
      <c r="E343">
        <f t="shared" si="15"/>
        <v>0</v>
      </c>
      <c r="F343">
        <f t="shared" si="16"/>
        <v>1</v>
      </c>
      <c r="G343">
        <f t="shared" si="17"/>
        <v>0</v>
      </c>
    </row>
    <row r="344" spans="1:7" ht="15.75" customHeight="1" x14ac:dyDescent="0.25">
      <c r="A344" s="33">
        <v>5</v>
      </c>
      <c r="B344" s="34">
        <v>6.85</v>
      </c>
      <c r="C344" s="36">
        <v>54.74</v>
      </c>
      <c r="D344" s="33" t="s">
        <v>9</v>
      </c>
      <c r="E344">
        <f t="shared" si="15"/>
        <v>0</v>
      </c>
      <c r="F344">
        <f t="shared" si="16"/>
        <v>1</v>
      </c>
      <c r="G344">
        <f t="shared" si="17"/>
        <v>0</v>
      </c>
    </row>
    <row r="345" spans="1:7" ht="15.75" customHeight="1" x14ac:dyDescent="0.25">
      <c r="A345" s="33">
        <v>7</v>
      </c>
      <c r="B345" s="34">
        <v>9.5</v>
      </c>
      <c r="C345" s="36">
        <v>47.91</v>
      </c>
      <c r="D345" s="33" t="s">
        <v>9</v>
      </c>
      <c r="E345">
        <f t="shared" si="15"/>
        <v>0</v>
      </c>
      <c r="F345">
        <f t="shared" si="16"/>
        <v>1</v>
      </c>
      <c r="G345">
        <f t="shared" si="17"/>
        <v>0</v>
      </c>
    </row>
    <row r="346" spans="1:7" ht="15.75" customHeight="1" x14ac:dyDescent="0.25">
      <c r="A346" s="33">
        <v>48</v>
      </c>
      <c r="B346" s="34">
        <v>5.86</v>
      </c>
      <c r="C346" s="36">
        <v>77.989999999999995</v>
      </c>
      <c r="D346" s="33" t="s">
        <v>9</v>
      </c>
      <c r="E346">
        <f t="shared" si="15"/>
        <v>0</v>
      </c>
      <c r="F346">
        <f t="shared" si="16"/>
        <v>1</v>
      </c>
      <c r="G346">
        <f t="shared" si="17"/>
        <v>0</v>
      </c>
    </row>
    <row r="347" spans="1:7" ht="15.75" customHeight="1" x14ac:dyDescent="0.25">
      <c r="A347" s="33">
        <v>27</v>
      </c>
      <c r="B347" s="34">
        <v>6.5</v>
      </c>
      <c r="C347" s="36">
        <v>44.27</v>
      </c>
      <c r="D347" s="33" t="s">
        <v>9</v>
      </c>
      <c r="E347">
        <f t="shared" si="15"/>
        <v>0</v>
      </c>
      <c r="F347">
        <f t="shared" si="16"/>
        <v>1</v>
      </c>
      <c r="G347">
        <f t="shared" si="17"/>
        <v>0</v>
      </c>
    </row>
    <row r="348" spans="1:7" ht="15.75" customHeight="1" x14ac:dyDescent="0.25">
      <c r="A348" s="33">
        <v>44</v>
      </c>
      <c r="B348" s="34">
        <v>8.7899999999999991</v>
      </c>
      <c r="C348" s="36">
        <v>91.53</v>
      </c>
      <c r="D348" s="33" t="s">
        <v>9</v>
      </c>
      <c r="E348">
        <f t="shared" si="15"/>
        <v>0</v>
      </c>
      <c r="F348">
        <f t="shared" si="16"/>
        <v>1</v>
      </c>
      <c r="G348">
        <f t="shared" si="17"/>
        <v>0</v>
      </c>
    </row>
    <row r="349" spans="1:7" ht="15.75" customHeight="1" x14ac:dyDescent="0.25">
      <c r="A349" s="33">
        <v>36</v>
      </c>
      <c r="B349" s="34">
        <v>6.71</v>
      </c>
      <c r="C349" s="36">
        <v>40.14</v>
      </c>
      <c r="D349" s="33" t="s">
        <v>9</v>
      </c>
      <c r="E349">
        <f t="shared" si="15"/>
        <v>0</v>
      </c>
      <c r="F349">
        <f t="shared" si="16"/>
        <v>1</v>
      </c>
      <c r="G349">
        <f t="shared" si="17"/>
        <v>0</v>
      </c>
    </row>
    <row r="350" spans="1:7" ht="15.75" customHeight="1" x14ac:dyDescent="0.25">
      <c r="A350" s="33">
        <v>10</v>
      </c>
      <c r="B350" s="34">
        <v>7.27</v>
      </c>
      <c r="C350" s="36">
        <v>62.96</v>
      </c>
      <c r="D350" s="33" t="s">
        <v>9</v>
      </c>
      <c r="E350">
        <f t="shared" si="15"/>
        <v>0</v>
      </c>
      <c r="F350">
        <f t="shared" si="16"/>
        <v>1</v>
      </c>
      <c r="G350">
        <f t="shared" si="17"/>
        <v>0</v>
      </c>
    </row>
    <row r="351" spans="1:7" ht="15.75" customHeight="1" x14ac:dyDescent="0.25">
      <c r="A351" s="33">
        <v>29</v>
      </c>
      <c r="B351" s="34">
        <v>6.91</v>
      </c>
      <c r="C351" s="36">
        <v>76.37</v>
      </c>
      <c r="D351" s="33" t="s">
        <v>9</v>
      </c>
      <c r="E351">
        <f t="shared" si="15"/>
        <v>0</v>
      </c>
      <c r="F351">
        <f t="shared" si="16"/>
        <v>1</v>
      </c>
      <c r="G351">
        <f t="shared" si="17"/>
        <v>0</v>
      </c>
    </row>
    <row r="352" spans="1:7" ht="15.75" customHeight="1" x14ac:dyDescent="0.25">
      <c r="A352" s="33">
        <v>36</v>
      </c>
      <c r="B352" s="34">
        <v>6.94</v>
      </c>
      <c r="C352" s="36">
        <v>85.29</v>
      </c>
      <c r="D352" s="33" t="s">
        <v>9</v>
      </c>
      <c r="E352">
        <f t="shared" si="15"/>
        <v>0</v>
      </c>
      <c r="F352">
        <f t="shared" si="16"/>
        <v>1</v>
      </c>
      <c r="G352">
        <f t="shared" si="17"/>
        <v>0</v>
      </c>
    </row>
    <row r="353" spans="1:7" ht="15.75" customHeight="1" x14ac:dyDescent="0.25">
      <c r="A353" s="33">
        <v>17</v>
      </c>
      <c r="B353" s="34">
        <v>5.24</v>
      </c>
      <c r="C353" s="36">
        <v>42.46</v>
      </c>
      <c r="D353" s="33" t="s">
        <v>9</v>
      </c>
      <c r="E353">
        <f t="shared" si="15"/>
        <v>0</v>
      </c>
      <c r="F353">
        <f t="shared" si="16"/>
        <v>1</v>
      </c>
      <c r="G353">
        <f t="shared" si="17"/>
        <v>0</v>
      </c>
    </row>
    <row r="354" spans="1:7" ht="15.75" customHeight="1" x14ac:dyDescent="0.25">
      <c r="A354" s="33">
        <v>9</v>
      </c>
      <c r="B354" s="34">
        <v>4.4400000000000004</v>
      </c>
      <c r="C354" s="36">
        <v>34.409999999999997</v>
      </c>
      <c r="D354" s="33" t="s">
        <v>9</v>
      </c>
      <c r="E354">
        <f t="shared" si="15"/>
        <v>0</v>
      </c>
      <c r="F354">
        <f t="shared" si="16"/>
        <v>1</v>
      </c>
      <c r="G354">
        <f t="shared" si="17"/>
        <v>0</v>
      </c>
    </row>
    <row r="355" spans="1:7" ht="15.75" customHeight="1" x14ac:dyDescent="0.25">
      <c r="A355" s="33">
        <v>28</v>
      </c>
      <c r="B355" s="34">
        <v>7.58</v>
      </c>
      <c r="C355" s="36">
        <v>54.71</v>
      </c>
      <c r="D355" s="33" t="s">
        <v>9</v>
      </c>
      <c r="E355">
        <f t="shared" si="15"/>
        <v>0</v>
      </c>
      <c r="F355">
        <f t="shared" si="16"/>
        <v>1</v>
      </c>
      <c r="G355">
        <f t="shared" si="17"/>
        <v>0</v>
      </c>
    </row>
    <row r="356" spans="1:7" ht="15.75" customHeight="1" x14ac:dyDescent="0.25">
      <c r="A356" s="33">
        <v>16</v>
      </c>
      <c r="B356" s="34">
        <v>9.0399999999999991</v>
      </c>
      <c r="C356" s="36">
        <v>89.08</v>
      </c>
      <c r="D356" s="33" t="s">
        <v>9</v>
      </c>
      <c r="E356">
        <f t="shared" si="15"/>
        <v>0</v>
      </c>
      <c r="F356">
        <f t="shared" si="16"/>
        <v>1</v>
      </c>
      <c r="G356">
        <f t="shared" si="17"/>
        <v>0</v>
      </c>
    </row>
    <row r="357" spans="1:7" ht="15.75" customHeight="1" x14ac:dyDescent="0.25">
      <c r="A357" s="33">
        <v>20</v>
      </c>
      <c r="B357" s="34">
        <v>7.84</v>
      </c>
      <c r="C357" s="36">
        <v>63.91</v>
      </c>
      <c r="D357" s="33" t="s">
        <v>9</v>
      </c>
      <c r="E357">
        <f t="shared" si="15"/>
        <v>0</v>
      </c>
      <c r="F357">
        <f t="shared" si="16"/>
        <v>1</v>
      </c>
      <c r="G357">
        <f t="shared" si="17"/>
        <v>0</v>
      </c>
    </row>
    <row r="358" spans="1:7" ht="15.75" customHeight="1" x14ac:dyDescent="0.25">
      <c r="A358" s="33">
        <v>24</v>
      </c>
      <c r="B358" s="34">
        <v>5.18</v>
      </c>
      <c r="C358" s="36">
        <v>59.17</v>
      </c>
      <c r="D358" s="33" t="s">
        <v>9</v>
      </c>
      <c r="E358">
        <f t="shared" si="15"/>
        <v>0</v>
      </c>
      <c r="F358">
        <f t="shared" si="16"/>
        <v>1</v>
      </c>
      <c r="G358">
        <f t="shared" si="17"/>
        <v>0</v>
      </c>
    </row>
    <row r="359" spans="1:7" ht="15.75" customHeight="1" x14ac:dyDescent="0.25">
      <c r="A359" s="33">
        <v>46</v>
      </c>
      <c r="B359" s="34">
        <v>8.14</v>
      </c>
      <c r="C359" s="36">
        <v>74.739999999999995</v>
      </c>
      <c r="D359" s="33" t="s">
        <v>9</v>
      </c>
      <c r="E359">
        <f t="shared" si="15"/>
        <v>0</v>
      </c>
      <c r="F359">
        <f t="shared" si="16"/>
        <v>1</v>
      </c>
      <c r="G359">
        <f t="shared" si="17"/>
        <v>0</v>
      </c>
    </row>
    <row r="360" spans="1:7" ht="15.75" customHeight="1" x14ac:dyDescent="0.25">
      <c r="A360" s="33">
        <v>9</v>
      </c>
      <c r="B360" s="34">
        <v>9.57</v>
      </c>
      <c r="C360" s="36">
        <v>80.03</v>
      </c>
      <c r="D360" s="33" t="s">
        <v>9</v>
      </c>
      <c r="E360">
        <f t="shared" si="15"/>
        <v>0</v>
      </c>
      <c r="F360">
        <f t="shared" si="16"/>
        <v>1</v>
      </c>
      <c r="G360">
        <f t="shared" si="17"/>
        <v>0</v>
      </c>
    </row>
    <row r="361" spans="1:7" ht="15.75" customHeight="1" x14ac:dyDescent="0.25">
      <c r="A361" s="33">
        <v>56</v>
      </c>
      <c r="B361" s="34">
        <v>6.51</v>
      </c>
      <c r="C361" s="36">
        <v>67.02</v>
      </c>
      <c r="D361" s="33" t="s">
        <v>9</v>
      </c>
      <c r="E361">
        <f t="shared" si="15"/>
        <v>0</v>
      </c>
      <c r="F361">
        <f t="shared" si="16"/>
        <v>1</v>
      </c>
      <c r="G361">
        <f t="shared" si="17"/>
        <v>0</v>
      </c>
    </row>
    <row r="362" spans="1:7" ht="15.75" customHeight="1" x14ac:dyDescent="0.25">
      <c r="A362" s="33">
        <v>37</v>
      </c>
      <c r="B362" s="34">
        <v>8.65</v>
      </c>
      <c r="C362" s="36">
        <v>91.16</v>
      </c>
      <c r="D362" s="33" t="s">
        <v>9</v>
      </c>
      <c r="E362">
        <f t="shared" si="15"/>
        <v>0</v>
      </c>
      <c r="F362">
        <f t="shared" si="16"/>
        <v>1</v>
      </c>
      <c r="G362">
        <f t="shared" si="17"/>
        <v>0</v>
      </c>
    </row>
    <row r="363" spans="1:7" ht="15.75" customHeight="1" x14ac:dyDescent="0.25">
      <c r="A363" s="33">
        <v>22</v>
      </c>
      <c r="B363" s="34">
        <v>6.09</v>
      </c>
      <c r="C363" s="36">
        <v>55.31</v>
      </c>
      <c r="D363" s="33" t="s">
        <v>9</v>
      </c>
      <c r="E363">
        <f t="shared" si="15"/>
        <v>0</v>
      </c>
      <c r="F363">
        <f t="shared" si="16"/>
        <v>1</v>
      </c>
      <c r="G363">
        <f t="shared" si="17"/>
        <v>0</v>
      </c>
    </row>
    <row r="364" spans="1:7" ht="15.75" customHeight="1" x14ac:dyDescent="0.25">
      <c r="A364" s="33">
        <v>19</v>
      </c>
      <c r="B364" s="34">
        <v>7.79</v>
      </c>
      <c r="C364" s="36">
        <v>34.770000000000003</v>
      </c>
      <c r="D364" s="33" t="s">
        <v>9</v>
      </c>
      <c r="E364">
        <f t="shared" si="15"/>
        <v>0</v>
      </c>
      <c r="F364">
        <f t="shared" si="16"/>
        <v>1</v>
      </c>
      <c r="G364">
        <f t="shared" si="17"/>
        <v>0</v>
      </c>
    </row>
    <row r="365" spans="1:7" ht="15.75" customHeight="1" x14ac:dyDescent="0.25">
      <c r="A365" s="33">
        <v>50</v>
      </c>
      <c r="B365" s="34">
        <v>5.58</v>
      </c>
      <c r="C365" s="36">
        <v>24.34</v>
      </c>
      <c r="D365" s="33" t="s">
        <v>9</v>
      </c>
      <c r="E365">
        <f t="shared" si="15"/>
        <v>0</v>
      </c>
      <c r="F365">
        <f t="shared" si="16"/>
        <v>1</v>
      </c>
      <c r="G365">
        <f t="shared" si="17"/>
        <v>0</v>
      </c>
    </row>
    <row r="366" spans="1:7" ht="15.75" customHeight="1" x14ac:dyDescent="0.25">
      <c r="A366" s="33">
        <v>32</v>
      </c>
      <c r="B366" s="34">
        <v>8.68</v>
      </c>
      <c r="C366" s="36">
        <v>89.26</v>
      </c>
      <c r="D366" s="33" t="s">
        <v>9</v>
      </c>
      <c r="E366">
        <f t="shared" si="15"/>
        <v>0</v>
      </c>
      <c r="F366">
        <f t="shared" si="16"/>
        <v>1</v>
      </c>
      <c r="G366">
        <f t="shared" si="17"/>
        <v>0</v>
      </c>
    </row>
    <row r="367" spans="1:7" ht="15.75" customHeight="1" x14ac:dyDescent="0.25">
      <c r="A367" s="33">
        <v>38</v>
      </c>
      <c r="B367" s="34">
        <v>7.81</v>
      </c>
      <c r="C367" s="36">
        <v>44.39</v>
      </c>
      <c r="D367" s="33" t="s">
        <v>9</v>
      </c>
      <c r="E367">
        <f t="shared" si="15"/>
        <v>0</v>
      </c>
      <c r="F367">
        <f t="shared" si="16"/>
        <v>1</v>
      </c>
      <c r="G367">
        <f t="shared" si="17"/>
        <v>0</v>
      </c>
    </row>
    <row r="368" spans="1:7" ht="15.75" customHeight="1" x14ac:dyDescent="0.25">
      <c r="A368" s="33">
        <v>27</v>
      </c>
      <c r="B368" s="34">
        <v>5.22</v>
      </c>
      <c r="C368" s="36">
        <v>28.76</v>
      </c>
      <c r="D368" s="33" t="s">
        <v>9</v>
      </c>
      <c r="E368">
        <f t="shared" si="15"/>
        <v>0</v>
      </c>
      <c r="F368">
        <f t="shared" si="16"/>
        <v>1</v>
      </c>
      <c r="G368">
        <f t="shared" si="17"/>
        <v>0</v>
      </c>
    </row>
    <row r="369" spans="1:7" ht="15.75" customHeight="1" x14ac:dyDescent="0.25">
      <c r="A369" s="33">
        <v>14</v>
      </c>
      <c r="B369" s="34">
        <v>8.6</v>
      </c>
      <c r="C369" s="36">
        <v>84.49</v>
      </c>
      <c r="D369" s="33" t="s">
        <v>9</v>
      </c>
      <c r="E369">
        <f t="shared" si="15"/>
        <v>0</v>
      </c>
      <c r="F369">
        <f t="shared" si="16"/>
        <v>1</v>
      </c>
      <c r="G369">
        <f t="shared" si="17"/>
        <v>0</v>
      </c>
    </row>
    <row r="370" spans="1:7" ht="15.75" customHeight="1" x14ac:dyDescent="0.25">
      <c r="A370" s="33">
        <v>8</v>
      </c>
      <c r="B370" s="34">
        <v>4.22</v>
      </c>
      <c r="C370" s="36">
        <v>52.93</v>
      </c>
      <c r="D370" s="33" t="s">
        <v>9</v>
      </c>
      <c r="E370">
        <f t="shared" si="15"/>
        <v>0</v>
      </c>
      <c r="F370">
        <f t="shared" si="16"/>
        <v>1</v>
      </c>
      <c r="G370">
        <f t="shared" si="17"/>
        <v>0</v>
      </c>
    </row>
    <row r="371" spans="1:7" ht="15.75" customHeight="1" x14ac:dyDescent="0.25">
      <c r="A371" s="33">
        <v>10</v>
      </c>
      <c r="B371" s="34">
        <v>6.95</v>
      </c>
      <c r="C371" s="36">
        <v>87.42</v>
      </c>
      <c r="D371" s="33" t="s">
        <v>9</v>
      </c>
      <c r="E371">
        <f t="shared" si="15"/>
        <v>0</v>
      </c>
      <c r="F371">
        <f t="shared" si="16"/>
        <v>1</v>
      </c>
      <c r="G371">
        <f t="shared" si="17"/>
        <v>0</v>
      </c>
    </row>
    <row r="372" spans="1:7" ht="15.75" customHeight="1" x14ac:dyDescent="0.25">
      <c r="A372" s="33">
        <v>26</v>
      </c>
      <c r="B372" s="34">
        <v>6.82</v>
      </c>
      <c r="C372" s="36">
        <v>51.97</v>
      </c>
      <c r="D372" s="33" t="s">
        <v>9</v>
      </c>
      <c r="E372">
        <f t="shared" si="15"/>
        <v>0</v>
      </c>
      <c r="F372">
        <f t="shared" si="16"/>
        <v>1</v>
      </c>
      <c r="G372">
        <f t="shared" si="17"/>
        <v>0</v>
      </c>
    </row>
    <row r="373" spans="1:7" ht="15.75" customHeight="1" x14ac:dyDescent="0.25">
      <c r="A373" s="33">
        <v>1</v>
      </c>
      <c r="B373" s="34">
        <v>9.06</v>
      </c>
      <c r="C373" s="36">
        <v>67.66</v>
      </c>
      <c r="D373" s="33" t="s">
        <v>9</v>
      </c>
      <c r="E373">
        <f t="shared" si="15"/>
        <v>0</v>
      </c>
      <c r="F373">
        <f t="shared" si="16"/>
        <v>1</v>
      </c>
      <c r="G373">
        <f t="shared" si="17"/>
        <v>0</v>
      </c>
    </row>
    <row r="374" spans="1:7" ht="15.75" customHeight="1" x14ac:dyDescent="0.25">
      <c r="A374" s="33">
        <v>9</v>
      </c>
      <c r="B374" s="34">
        <v>6.7</v>
      </c>
      <c r="C374" s="36">
        <v>47.74</v>
      </c>
      <c r="D374" s="33" t="s">
        <v>9</v>
      </c>
      <c r="E374">
        <f t="shared" si="15"/>
        <v>0</v>
      </c>
      <c r="F374">
        <f t="shared" si="16"/>
        <v>1</v>
      </c>
      <c r="G374">
        <f t="shared" si="17"/>
        <v>0</v>
      </c>
    </row>
    <row r="375" spans="1:7" ht="15.75" customHeight="1" x14ac:dyDescent="0.25">
      <c r="A375" s="33">
        <v>18</v>
      </c>
      <c r="B375" s="34">
        <v>4.0199999999999996</v>
      </c>
      <c r="C375" s="36">
        <v>70</v>
      </c>
      <c r="D375" s="33" t="s">
        <v>9</v>
      </c>
      <c r="E375">
        <f t="shared" si="15"/>
        <v>0</v>
      </c>
      <c r="F375">
        <f t="shared" si="16"/>
        <v>1</v>
      </c>
      <c r="G375">
        <f t="shared" si="17"/>
        <v>0</v>
      </c>
    </row>
    <row r="376" spans="1:7" ht="15.75" customHeight="1" x14ac:dyDescent="0.25">
      <c r="A376" s="33">
        <v>15</v>
      </c>
      <c r="B376" s="34">
        <v>9.5299999999999994</v>
      </c>
      <c r="C376" s="36">
        <v>73.02</v>
      </c>
      <c r="D376" s="33" t="s">
        <v>9</v>
      </c>
      <c r="E376">
        <f t="shared" si="15"/>
        <v>0</v>
      </c>
      <c r="F376">
        <f t="shared" si="16"/>
        <v>1</v>
      </c>
      <c r="G376">
        <f t="shared" si="17"/>
        <v>0</v>
      </c>
    </row>
    <row r="377" spans="1:7" ht="15.75" customHeight="1" x14ac:dyDescent="0.25">
      <c r="A377" s="33">
        <v>16</v>
      </c>
      <c r="B377" s="34">
        <v>6.49</v>
      </c>
      <c r="C377" s="36">
        <v>63.52</v>
      </c>
      <c r="D377" s="33" t="s">
        <v>9</v>
      </c>
      <c r="E377">
        <f t="shared" si="15"/>
        <v>0</v>
      </c>
      <c r="F377">
        <f t="shared" si="16"/>
        <v>1</v>
      </c>
      <c r="G377">
        <f t="shared" si="17"/>
        <v>0</v>
      </c>
    </row>
    <row r="378" spans="1:7" ht="15.75" customHeight="1" x14ac:dyDescent="0.25">
      <c r="A378" s="33">
        <v>43</v>
      </c>
      <c r="B378" s="34">
        <v>8.85</v>
      </c>
      <c r="C378" s="36">
        <v>66.16</v>
      </c>
      <c r="D378" s="33" t="s">
        <v>9</v>
      </c>
      <c r="E378">
        <f t="shared" si="15"/>
        <v>0</v>
      </c>
      <c r="F378">
        <f t="shared" si="16"/>
        <v>1</v>
      </c>
      <c r="G378">
        <f t="shared" si="17"/>
        <v>0</v>
      </c>
    </row>
    <row r="379" spans="1:7" ht="15.75" customHeight="1" x14ac:dyDescent="0.25">
      <c r="A379" s="33">
        <v>29</v>
      </c>
      <c r="B379" s="34">
        <v>6.27</v>
      </c>
      <c r="C379" s="36">
        <v>59.31</v>
      </c>
      <c r="D379" s="33" t="s">
        <v>9</v>
      </c>
      <c r="E379">
        <f t="shared" si="15"/>
        <v>0</v>
      </c>
      <c r="F379">
        <f t="shared" si="16"/>
        <v>1</v>
      </c>
      <c r="G379">
        <f t="shared" si="17"/>
        <v>0</v>
      </c>
    </row>
    <row r="380" spans="1:7" ht="15.75" customHeight="1" x14ac:dyDescent="0.25">
      <c r="A380" s="33">
        <v>50</v>
      </c>
      <c r="B380" s="34">
        <v>6.18</v>
      </c>
      <c r="C380" s="36">
        <v>31.57</v>
      </c>
      <c r="D380" s="33" t="s">
        <v>9</v>
      </c>
      <c r="E380">
        <f t="shared" si="15"/>
        <v>0</v>
      </c>
      <c r="F380">
        <f t="shared" si="16"/>
        <v>1</v>
      </c>
      <c r="G380">
        <f t="shared" si="17"/>
        <v>0</v>
      </c>
    </row>
    <row r="381" spans="1:7" ht="15.75" customHeight="1" x14ac:dyDescent="0.25">
      <c r="A381" s="33">
        <v>32</v>
      </c>
      <c r="B381" s="34">
        <v>8</v>
      </c>
      <c r="C381" s="36">
        <v>62.46</v>
      </c>
      <c r="D381" s="33" t="s">
        <v>9</v>
      </c>
      <c r="E381">
        <f t="shared" si="15"/>
        <v>0</v>
      </c>
      <c r="F381">
        <f t="shared" si="16"/>
        <v>1</v>
      </c>
      <c r="G381">
        <f t="shared" si="17"/>
        <v>0</v>
      </c>
    </row>
    <row r="382" spans="1:7" ht="15.75" customHeight="1" x14ac:dyDescent="0.25">
      <c r="A382" s="33">
        <v>12</v>
      </c>
      <c r="B382" s="34">
        <v>6.96</v>
      </c>
      <c r="C382" s="36">
        <v>61.19</v>
      </c>
      <c r="D382" s="33" t="s">
        <v>9</v>
      </c>
      <c r="E382">
        <f t="shared" si="15"/>
        <v>0</v>
      </c>
      <c r="F382">
        <f t="shared" si="16"/>
        <v>1</v>
      </c>
      <c r="G382">
        <f t="shared" si="17"/>
        <v>0</v>
      </c>
    </row>
    <row r="383" spans="1:7" ht="15.75" customHeight="1" x14ac:dyDescent="0.25">
      <c r="A383" s="33">
        <v>35</v>
      </c>
      <c r="B383" s="34">
        <v>9.56</v>
      </c>
      <c r="C383" s="36">
        <v>67.12</v>
      </c>
      <c r="D383" s="33" t="s">
        <v>9</v>
      </c>
      <c r="E383">
        <f t="shared" si="15"/>
        <v>0</v>
      </c>
      <c r="F383">
        <f t="shared" si="16"/>
        <v>1</v>
      </c>
      <c r="G383">
        <f t="shared" si="17"/>
        <v>0</v>
      </c>
    </row>
    <row r="384" spans="1:7" ht="15.75" customHeight="1" x14ac:dyDescent="0.25">
      <c r="A384" s="33">
        <v>45</v>
      </c>
      <c r="B384" s="34">
        <v>6.06</v>
      </c>
      <c r="C384" s="36">
        <v>54.51</v>
      </c>
      <c r="D384" s="33" t="s">
        <v>9</v>
      </c>
      <c r="E384">
        <f t="shared" si="15"/>
        <v>0</v>
      </c>
      <c r="F384">
        <f t="shared" si="16"/>
        <v>1</v>
      </c>
      <c r="G384">
        <f t="shared" si="17"/>
        <v>0</v>
      </c>
    </row>
    <row r="385" spans="1:7" ht="15.75" customHeight="1" x14ac:dyDescent="0.25">
      <c r="A385" s="33">
        <v>17</v>
      </c>
      <c r="B385" s="34">
        <v>7.7</v>
      </c>
      <c r="C385" s="36">
        <v>61.02</v>
      </c>
      <c r="D385" s="33" t="s">
        <v>9</v>
      </c>
      <c r="E385">
        <f t="shared" si="15"/>
        <v>0</v>
      </c>
      <c r="F385">
        <f t="shared" si="16"/>
        <v>1</v>
      </c>
      <c r="G385">
        <f t="shared" si="17"/>
        <v>0</v>
      </c>
    </row>
    <row r="386" spans="1:7" ht="15.75" customHeight="1" x14ac:dyDescent="0.25">
      <c r="A386" s="33">
        <v>27</v>
      </c>
      <c r="B386" s="34">
        <v>5.05</v>
      </c>
      <c r="C386" s="36">
        <v>73.69</v>
      </c>
      <c r="D386" s="33" t="s">
        <v>9</v>
      </c>
      <c r="E386">
        <f t="shared" ref="E386:E449" si="18">IF(D386="bien de conso.",1,0)</f>
        <v>0</v>
      </c>
      <c r="F386">
        <f t="shared" ref="F386:F449" si="19">IF($D386="nourriture",1,0)</f>
        <v>1</v>
      </c>
      <c r="G386">
        <f t="shared" ref="G386:G449" si="20">IF($D386="high tech",1,0)</f>
        <v>0</v>
      </c>
    </row>
    <row r="387" spans="1:7" ht="15.75" customHeight="1" x14ac:dyDescent="0.25">
      <c r="A387" s="33">
        <v>32</v>
      </c>
      <c r="B387" s="34">
        <v>7.38</v>
      </c>
      <c r="C387" s="36">
        <v>75.75</v>
      </c>
      <c r="D387" s="33" t="s">
        <v>9</v>
      </c>
      <c r="E387">
        <f t="shared" si="18"/>
        <v>0</v>
      </c>
      <c r="F387">
        <f t="shared" si="19"/>
        <v>1</v>
      </c>
      <c r="G387">
        <f t="shared" si="20"/>
        <v>0</v>
      </c>
    </row>
    <row r="388" spans="1:7" ht="15.75" customHeight="1" x14ac:dyDescent="0.25">
      <c r="A388" s="33">
        <v>48</v>
      </c>
      <c r="B388" s="34">
        <v>6.23</v>
      </c>
      <c r="C388" s="36">
        <v>36.51</v>
      </c>
      <c r="D388" s="33" t="s">
        <v>9</v>
      </c>
      <c r="E388">
        <f t="shared" si="18"/>
        <v>0</v>
      </c>
      <c r="F388">
        <f t="shared" si="19"/>
        <v>1</v>
      </c>
      <c r="G388">
        <f t="shared" si="20"/>
        <v>0</v>
      </c>
    </row>
    <row r="389" spans="1:7" ht="15.75" customHeight="1" x14ac:dyDescent="0.25">
      <c r="A389" s="33">
        <v>32</v>
      </c>
      <c r="B389" s="34">
        <v>7.19</v>
      </c>
      <c r="C389" s="36">
        <v>48.4</v>
      </c>
      <c r="D389" s="33" t="s">
        <v>9</v>
      </c>
      <c r="E389">
        <f t="shared" si="18"/>
        <v>0</v>
      </c>
      <c r="F389">
        <f t="shared" si="19"/>
        <v>1</v>
      </c>
      <c r="G389">
        <f t="shared" si="20"/>
        <v>0</v>
      </c>
    </row>
    <row r="390" spans="1:7" ht="15.75" customHeight="1" x14ac:dyDescent="0.25">
      <c r="A390" s="33">
        <v>16</v>
      </c>
      <c r="B390" s="34">
        <v>9.3800000000000008</v>
      </c>
      <c r="C390" s="36">
        <v>90.42</v>
      </c>
      <c r="D390" s="33" t="s">
        <v>9</v>
      </c>
      <c r="E390">
        <f t="shared" si="18"/>
        <v>0</v>
      </c>
      <c r="F390">
        <f t="shared" si="19"/>
        <v>1</v>
      </c>
      <c r="G390">
        <f t="shared" si="20"/>
        <v>0</v>
      </c>
    </row>
    <row r="391" spans="1:7" ht="15.75" customHeight="1" x14ac:dyDescent="0.25">
      <c r="A391" s="33">
        <v>39</v>
      </c>
      <c r="B391" s="34">
        <v>7.98</v>
      </c>
      <c r="C391" s="36">
        <v>55.94</v>
      </c>
      <c r="D391" s="33" t="s">
        <v>9</v>
      </c>
      <c r="E391">
        <f t="shared" si="18"/>
        <v>0</v>
      </c>
      <c r="F391">
        <f t="shared" si="19"/>
        <v>1</v>
      </c>
      <c r="G391">
        <f t="shared" si="20"/>
        <v>0</v>
      </c>
    </row>
    <row r="392" spans="1:7" ht="15.75" customHeight="1" x14ac:dyDescent="0.25">
      <c r="A392" s="33">
        <v>16</v>
      </c>
      <c r="B392" s="34">
        <v>6.66</v>
      </c>
      <c r="C392" s="36">
        <v>55.42</v>
      </c>
      <c r="D392" s="33" t="s">
        <v>9</v>
      </c>
      <c r="E392">
        <f t="shared" si="18"/>
        <v>0</v>
      </c>
      <c r="F392">
        <f t="shared" si="19"/>
        <v>1</v>
      </c>
      <c r="G392">
        <f t="shared" si="20"/>
        <v>0</v>
      </c>
    </row>
    <row r="393" spans="1:7" ht="15.75" customHeight="1" x14ac:dyDescent="0.25">
      <c r="A393" s="33">
        <v>10</v>
      </c>
      <c r="B393" s="34">
        <v>6.96</v>
      </c>
      <c r="C393" s="36">
        <v>47.98</v>
      </c>
      <c r="D393" s="33" t="s">
        <v>9</v>
      </c>
      <c r="E393">
        <f t="shared" si="18"/>
        <v>0</v>
      </c>
      <c r="F393">
        <f t="shared" si="19"/>
        <v>1</v>
      </c>
      <c r="G393">
        <f t="shared" si="20"/>
        <v>0</v>
      </c>
    </row>
    <row r="394" spans="1:7" ht="15.75" customHeight="1" x14ac:dyDescent="0.25">
      <c r="A394" s="33">
        <v>24</v>
      </c>
      <c r="B394" s="34">
        <v>7.07</v>
      </c>
      <c r="C394" s="36">
        <v>92.83</v>
      </c>
      <c r="D394" s="33" t="s">
        <v>9</v>
      </c>
      <c r="E394">
        <f t="shared" si="18"/>
        <v>0</v>
      </c>
      <c r="F394">
        <f t="shared" si="19"/>
        <v>1</v>
      </c>
      <c r="G394">
        <f t="shared" si="20"/>
        <v>0</v>
      </c>
    </row>
    <row r="395" spans="1:7" ht="15.75" customHeight="1" x14ac:dyDescent="0.25">
      <c r="A395" s="33">
        <v>64</v>
      </c>
      <c r="B395" s="34">
        <v>8.08</v>
      </c>
      <c r="C395" s="36">
        <v>89.18</v>
      </c>
      <c r="D395" s="33" t="s">
        <v>9</v>
      </c>
      <c r="E395">
        <f t="shared" si="18"/>
        <v>0</v>
      </c>
      <c r="F395">
        <f t="shared" si="19"/>
        <v>1</v>
      </c>
      <c r="G395">
        <f t="shared" si="20"/>
        <v>0</v>
      </c>
    </row>
    <row r="396" spans="1:7" ht="15.75" customHeight="1" x14ac:dyDescent="0.25">
      <c r="A396" s="33">
        <v>34</v>
      </c>
      <c r="B396" s="34">
        <v>6.25</v>
      </c>
      <c r="C396" s="36">
        <v>35.03</v>
      </c>
      <c r="D396" s="33" t="s">
        <v>9</v>
      </c>
      <c r="E396">
        <f t="shared" si="18"/>
        <v>0</v>
      </c>
      <c r="F396">
        <f t="shared" si="19"/>
        <v>1</v>
      </c>
      <c r="G396">
        <f t="shared" si="20"/>
        <v>0</v>
      </c>
    </row>
    <row r="397" spans="1:7" ht="15.75" customHeight="1" x14ac:dyDescent="0.25">
      <c r="A397" s="33">
        <v>37</v>
      </c>
      <c r="B397" s="34">
        <v>5.15</v>
      </c>
      <c r="C397" s="36">
        <v>36.72</v>
      </c>
      <c r="D397" s="33" t="s">
        <v>9</v>
      </c>
      <c r="E397">
        <f t="shared" si="18"/>
        <v>0</v>
      </c>
      <c r="F397">
        <f t="shared" si="19"/>
        <v>1</v>
      </c>
      <c r="G397">
        <f t="shared" si="20"/>
        <v>0</v>
      </c>
    </row>
    <row r="398" spans="1:7" ht="15.75" customHeight="1" x14ac:dyDescent="0.25">
      <c r="A398" s="33">
        <v>25</v>
      </c>
      <c r="B398" s="34">
        <v>8.5500000000000007</v>
      </c>
      <c r="C398" s="36">
        <v>37.83</v>
      </c>
      <c r="D398" s="33" t="s">
        <v>9</v>
      </c>
      <c r="E398">
        <f t="shared" si="18"/>
        <v>0</v>
      </c>
      <c r="F398">
        <f t="shared" si="19"/>
        <v>1</v>
      </c>
      <c r="G398">
        <f t="shared" si="20"/>
        <v>0</v>
      </c>
    </row>
    <row r="399" spans="1:7" ht="15.75" customHeight="1" x14ac:dyDescent="0.25">
      <c r="A399" s="33">
        <v>18</v>
      </c>
      <c r="B399" s="34">
        <v>7.31</v>
      </c>
      <c r="C399" s="36">
        <v>53.57</v>
      </c>
      <c r="D399" s="33" t="s">
        <v>9</v>
      </c>
      <c r="E399">
        <f t="shared" si="18"/>
        <v>0</v>
      </c>
      <c r="F399">
        <f t="shared" si="19"/>
        <v>1</v>
      </c>
      <c r="G399">
        <f t="shared" si="20"/>
        <v>0</v>
      </c>
    </row>
    <row r="400" spans="1:7" ht="15.75" customHeight="1" x14ac:dyDescent="0.25">
      <c r="A400" s="33">
        <v>34</v>
      </c>
      <c r="B400" s="34">
        <v>8.41</v>
      </c>
      <c r="C400" s="36">
        <v>8.69</v>
      </c>
      <c r="D400" s="33" t="s">
        <v>9</v>
      </c>
      <c r="E400">
        <f t="shared" si="18"/>
        <v>0</v>
      </c>
      <c r="F400">
        <f t="shared" si="19"/>
        <v>1</v>
      </c>
      <c r="G400">
        <f t="shared" si="20"/>
        <v>0</v>
      </c>
    </row>
    <row r="401" spans="1:7" ht="15.75" customHeight="1" x14ac:dyDescent="0.25">
      <c r="A401" s="33">
        <v>10</v>
      </c>
      <c r="B401" s="34">
        <v>5.65</v>
      </c>
      <c r="C401" s="36">
        <v>20.309999999999999</v>
      </c>
      <c r="D401" s="33" t="s">
        <v>9</v>
      </c>
      <c r="E401">
        <f t="shared" si="18"/>
        <v>0</v>
      </c>
      <c r="F401">
        <f t="shared" si="19"/>
        <v>1</v>
      </c>
      <c r="G401">
        <f t="shared" si="20"/>
        <v>0</v>
      </c>
    </row>
    <row r="402" spans="1:7" ht="15.75" customHeight="1" x14ac:dyDescent="0.25">
      <c r="A402" s="33">
        <v>46</v>
      </c>
      <c r="B402" s="34">
        <v>9.6199999999999992</v>
      </c>
      <c r="C402" s="36">
        <v>92.89</v>
      </c>
      <c r="D402" s="33" t="s">
        <v>9</v>
      </c>
      <c r="E402">
        <f t="shared" si="18"/>
        <v>0</v>
      </c>
      <c r="F402">
        <f t="shared" si="19"/>
        <v>1</v>
      </c>
      <c r="G402">
        <f t="shared" si="20"/>
        <v>0</v>
      </c>
    </row>
    <row r="403" spans="1:7" ht="15.75" customHeight="1" x14ac:dyDescent="0.25">
      <c r="A403" s="33">
        <v>25</v>
      </c>
      <c r="B403" s="34">
        <v>5.94</v>
      </c>
      <c r="C403" s="36">
        <v>100.07</v>
      </c>
      <c r="D403" s="33" t="s">
        <v>9</v>
      </c>
      <c r="E403">
        <f t="shared" si="18"/>
        <v>0</v>
      </c>
      <c r="F403">
        <f t="shared" si="19"/>
        <v>1</v>
      </c>
      <c r="G403">
        <f t="shared" si="20"/>
        <v>0</v>
      </c>
    </row>
    <row r="404" spans="1:7" ht="15.75" customHeight="1" x14ac:dyDescent="0.25">
      <c r="A404" s="33">
        <v>19</v>
      </c>
      <c r="B404" s="34">
        <v>6.22</v>
      </c>
      <c r="C404" s="36">
        <v>33.18</v>
      </c>
      <c r="D404" s="33" t="s">
        <v>9</v>
      </c>
      <c r="E404">
        <f t="shared" si="18"/>
        <v>0</v>
      </c>
      <c r="F404">
        <f t="shared" si="19"/>
        <v>1</v>
      </c>
      <c r="G404">
        <f t="shared" si="20"/>
        <v>0</v>
      </c>
    </row>
    <row r="405" spans="1:7" ht="15.75" customHeight="1" x14ac:dyDescent="0.25">
      <c r="A405" s="33">
        <v>7</v>
      </c>
      <c r="B405" s="34">
        <v>6.99</v>
      </c>
      <c r="C405" s="36">
        <v>57.18</v>
      </c>
      <c r="D405" s="33" t="s">
        <v>9</v>
      </c>
      <c r="E405">
        <f t="shared" si="18"/>
        <v>0</v>
      </c>
      <c r="F405">
        <f t="shared" si="19"/>
        <v>1</v>
      </c>
      <c r="G405">
        <f t="shared" si="20"/>
        <v>0</v>
      </c>
    </row>
    <row r="406" spans="1:7" ht="15.75" customHeight="1" x14ac:dyDescent="0.25">
      <c r="A406" s="33">
        <v>17</v>
      </c>
      <c r="B406" s="34">
        <v>6.05</v>
      </c>
      <c r="C406" s="36">
        <v>67.25</v>
      </c>
      <c r="D406" s="33" t="s">
        <v>9</v>
      </c>
      <c r="E406">
        <f t="shared" si="18"/>
        <v>0</v>
      </c>
      <c r="F406">
        <f t="shared" si="19"/>
        <v>1</v>
      </c>
      <c r="G406">
        <f t="shared" si="20"/>
        <v>0</v>
      </c>
    </row>
    <row r="407" spans="1:7" ht="15.75" customHeight="1" x14ac:dyDescent="0.25">
      <c r="A407" s="33">
        <v>26</v>
      </c>
      <c r="B407" s="34">
        <v>5.31</v>
      </c>
      <c r="C407" s="36">
        <v>52.1</v>
      </c>
      <c r="D407" s="33" t="s">
        <v>9</v>
      </c>
      <c r="E407">
        <f t="shared" si="18"/>
        <v>0</v>
      </c>
      <c r="F407">
        <f t="shared" si="19"/>
        <v>1</v>
      </c>
      <c r="G407">
        <f t="shared" si="20"/>
        <v>0</v>
      </c>
    </row>
    <row r="408" spans="1:7" ht="15.75" customHeight="1" x14ac:dyDescent="0.25">
      <c r="A408" s="33">
        <v>49</v>
      </c>
      <c r="B408" s="34">
        <v>5.61</v>
      </c>
      <c r="C408" s="36">
        <v>71.069999999999993</v>
      </c>
      <c r="D408" s="33" t="s">
        <v>9</v>
      </c>
      <c r="E408">
        <f t="shared" si="18"/>
        <v>0</v>
      </c>
      <c r="F408">
        <f t="shared" si="19"/>
        <v>1</v>
      </c>
      <c r="G408">
        <f t="shared" si="20"/>
        <v>0</v>
      </c>
    </row>
    <row r="409" spans="1:7" ht="15.75" customHeight="1" x14ac:dyDescent="0.25">
      <c r="A409" s="33">
        <v>24</v>
      </c>
      <c r="B409" s="34">
        <v>8.83</v>
      </c>
      <c r="C409" s="36">
        <v>76.27</v>
      </c>
      <c r="D409" s="33" t="s">
        <v>9</v>
      </c>
      <c r="E409">
        <f t="shared" si="18"/>
        <v>0</v>
      </c>
      <c r="F409">
        <f t="shared" si="19"/>
        <v>1</v>
      </c>
      <c r="G409">
        <f t="shared" si="20"/>
        <v>0</v>
      </c>
    </row>
    <row r="410" spans="1:7" ht="15.75" customHeight="1" x14ac:dyDescent="0.25">
      <c r="A410" s="33">
        <v>25</v>
      </c>
      <c r="B410" s="34">
        <v>4.57</v>
      </c>
      <c r="C410" s="36">
        <v>45.88</v>
      </c>
      <c r="D410" s="33" t="s">
        <v>9</v>
      </c>
      <c r="E410">
        <f t="shared" si="18"/>
        <v>0</v>
      </c>
      <c r="F410">
        <f t="shared" si="19"/>
        <v>1</v>
      </c>
      <c r="G410">
        <f t="shared" si="20"/>
        <v>0</v>
      </c>
    </row>
    <row r="411" spans="1:7" ht="15.75" customHeight="1" x14ac:dyDescent="0.25">
      <c r="A411" s="33">
        <v>17</v>
      </c>
      <c r="B411" s="34">
        <v>5.99</v>
      </c>
      <c r="C411" s="36">
        <v>80.13</v>
      </c>
      <c r="D411" s="33" t="s">
        <v>9</v>
      </c>
      <c r="E411">
        <f t="shared" si="18"/>
        <v>0</v>
      </c>
      <c r="F411">
        <f t="shared" si="19"/>
        <v>1</v>
      </c>
      <c r="G411">
        <f t="shared" si="20"/>
        <v>0</v>
      </c>
    </row>
    <row r="412" spans="1:7" ht="15.75" customHeight="1" x14ac:dyDescent="0.25">
      <c r="A412" s="33">
        <v>42</v>
      </c>
      <c r="B412" s="34">
        <v>7.67</v>
      </c>
      <c r="C412" s="36">
        <v>58.01</v>
      </c>
      <c r="D412" s="33" t="s">
        <v>9</v>
      </c>
      <c r="E412">
        <f t="shared" si="18"/>
        <v>0</v>
      </c>
      <c r="F412">
        <f t="shared" si="19"/>
        <v>1</v>
      </c>
      <c r="G412">
        <f t="shared" si="20"/>
        <v>0</v>
      </c>
    </row>
    <row r="413" spans="1:7" ht="15.75" customHeight="1" x14ac:dyDescent="0.25">
      <c r="A413" s="33">
        <v>29</v>
      </c>
      <c r="B413" s="34">
        <v>8.2899999999999991</v>
      </c>
      <c r="C413" s="36">
        <v>50.65</v>
      </c>
      <c r="D413" s="33" t="s">
        <v>9</v>
      </c>
      <c r="E413">
        <f t="shared" si="18"/>
        <v>0</v>
      </c>
      <c r="F413">
        <f t="shared" si="19"/>
        <v>1</v>
      </c>
      <c r="G413">
        <f t="shared" si="20"/>
        <v>0</v>
      </c>
    </row>
    <row r="414" spans="1:7" ht="15.75" customHeight="1" x14ac:dyDescent="0.25">
      <c r="A414" s="33">
        <v>9</v>
      </c>
      <c r="B414" s="34">
        <v>9.23</v>
      </c>
      <c r="C414" s="36">
        <v>82.68</v>
      </c>
      <c r="D414" s="33" t="s">
        <v>9</v>
      </c>
      <c r="E414">
        <f t="shared" si="18"/>
        <v>0</v>
      </c>
      <c r="F414">
        <f t="shared" si="19"/>
        <v>1</v>
      </c>
      <c r="G414">
        <f t="shared" si="20"/>
        <v>0</v>
      </c>
    </row>
    <row r="415" spans="1:7" ht="15.75" customHeight="1" x14ac:dyDescent="0.25">
      <c r="A415" s="33">
        <v>36</v>
      </c>
      <c r="B415" s="34">
        <v>5.98</v>
      </c>
      <c r="C415" s="36">
        <v>56.8</v>
      </c>
      <c r="D415" s="33" t="s">
        <v>9</v>
      </c>
      <c r="E415">
        <f t="shared" si="18"/>
        <v>0</v>
      </c>
      <c r="F415">
        <f t="shared" si="19"/>
        <v>1</v>
      </c>
      <c r="G415">
        <f t="shared" si="20"/>
        <v>0</v>
      </c>
    </row>
    <row r="416" spans="1:7" ht="15.75" customHeight="1" x14ac:dyDescent="0.25">
      <c r="A416" s="33">
        <v>15</v>
      </c>
      <c r="B416" s="34">
        <v>5.35</v>
      </c>
      <c r="C416" s="36">
        <v>43.32</v>
      </c>
      <c r="D416" s="33" t="s">
        <v>9</v>
      </c>
      <c r="E416">
        <f t="shared" si="18"/>
        <v>0</v>
      </c>
      <c r="F416">
        <f t="shared" si="19"/>
        <v>1</v>
      </c>
      <c r="G416">
        <f t="shared" si="20"/>
        <v>0</v>
      </c>
    </row>
    <row r="417" spans="1:7" ht="15.75" customHeight="1" x14ac:dyDescent="0.25">
      <c r="A417" s="33">
        <v>24</v>
      </c>
      <c r="B417" s="34">
        <v>9.02</v>
      </c>
      <c r="C417" s="36">
        <v>68.38</v>
      </c>
      <c r="D417" s="33" t="s">
        <v>9</v>
      </c>
      <c r="E417">
        <f t="shared" si="18"/>
        <v>0</v>
      </c>
      <c r="F417">
        <f t="shared" si="19"/>
        <v>1</v>
      </c>
      <c r="G417">
        <f t="shared" si="20"/>
        <v>0</v>
      </c>
    </row>
    <row r="418" spans="1:7" ht="15.75" customHeight="1" x14ac:dyDescent="0.25">
      <c r="A418" s="33">
        <v>28</v>
      </c>
      <c r="B418" s="34">
        <v>7.27</v>
      </c>
      <c r="C418" s="36">
        <v>33.450000000000003</v>
      </c>
      <c r="D418" s="33" t="s">
        <v>9</v>
      </c>
      <c r="E418">
        <f t="shared" si="18"/>
        <v>0</v>
      </c>
      <c r="F418">
        <f t="shared" si="19"/>
        <v>1</v>
      </c>
      <c r="G418">
        <f t="shared" si="20"/>
        <v>0</v>
      </c>
    </row>
    <row r="419" spans="1:7" ht="15.75" customHeight="1" x14ac:dyDescent="0.25">
      <c r="A419" s="33">
        <v>26</v>
      </c>
      <c r="B419" s="34">
        <v>9.3000000000000007</v>
      </c>
      <c r="C419" s="36">
        <v>78.83</v>
      </c>
      <c r="D419" s="33" t="s">
        <v>9</v>
      </c>
      <c r="E419">
        <f t="shared" si="18"/>
        <v>0</v>
      </c>
      <c r="F419">
        <f t="shared" si="19"/>
        <v>1</v>
      </c>
      <c r="G419">
        <f t="shared" si="20"/>
        <v>0</v>
      </c>
    </row>
    <row r="420" spans="1:7" ht="15.75" customHeight="1" x14ac:dyDescent="0.25">
      <c r="A420" s="33">
        <v>20</v>
      </c>
      <c r="B420" s="34">
        <v>6.75</v>
      </c>
      <c r="C420" s="36">
        <v>79.989999999999995</v>
      </c>
      <c r="D420" s="33" t="s">
        <v>9</v>
      </c>
      <c r="E420">
        <f t="shared" si="18"/>
        <v>0</v>
      </c>
      <c r="F420">
        <f t="shared" si="19"/>
        <v>1</v>
      </c>
      <c r="G420">
        <f t="shared" si="20"/>
        <v>0</v>
      </c>
    </row>
    <row r="421" spans="1:7" ht="15.75" customHeight="1" x14ac:dyDescent="0.25">
      <c r="A421" s="33">
        <v>36</v>
      </c>
      <c r="B421" s="34">
        <v>8.8800000000000008</v>
      </c>
      <c r="C421" s="36">
        <v>73.25</v>
      </c>
      <c r="D421" s="33" t="s">
        <v>9</v>
      </c>
      <c r="E421">
        <f t="shared" si="18"/>
        <v>0</v>
      </c>
      <c r="F421">
        <f t="shared" si="19"/>
        <v>1</v>
      </c>
      <c r="G421">
        <f t="shared" si="20"/>
        <v>0</v>
      </c>
    </row>
    <row r="422" spans="1:7" ht="15.75" customHeight="1" x14ac:dyDescent="0.25">
      <c r="A422" s="33">
        <v>36</v>
      </c>
      <c r="B422" s="34">
        <v>7.25</v>
      </c>
      <c r="C422" s="36">
        <v>42.01</v>
      </c>
      <c r="D422" s="33" t="s">
        <v>9</v>
      </c>
      <c r="E422">
        <f t="shared" si="18"/>
        <v>0</v>
      </c>
      <c r="F422">
        <f t="shared" si="19"/>
        <v>1</v>
      </c>
      <c r="G422">
        <f t="shared" si="20"/>
        <v>0</v>
      </c>
    </row>
    <row r="423" spans="1:7" ht="15.75" customHeight="1" x14ac:dyDescent="0.25">
      <c r="A423" s="33">
        <v>5</v>
      </c>
      <c r="B423" s="34">
        <v>6.8</v>
      </c>
      <c r="C423" s="36">
        <v>61.9</v>
      </c>
      <c r="D423" s="33" t="s">
        <v>9</v>
      </c>
      <c r="E423">
        <f t="shared" si="18"/>
        <v>0</v>
      </c>
      <c r="F423">
        <f t="shared" si="19"/>
        <v>1</v>
      </c>
      <c r="G423">
        <f t="shared" si="20"/>
        <v>0</v>
      </c>
    </row>
    <row r="424" spans="1:7" ht="15.75" customHeight="1" x14ac:dyDescent="0.25">
      <c r="A424" s="33">
        <v>15</v>
      </c>
      <c r="B424" s="34">
        <v>6.65</v>
      </c>
      <c r="C424" s="36">
        <v>54.56</v>
      </c>
      <c r="D424" s="33" t="s">
        <v>9</v>
      </c>
      <c r="E424">
        <f t="shared" si="18"/>
        <v>0</v>
      </c>
      <c r="F424">
        <f t="shared" si="19"/>
        <v>1</v>
      </c>
      <c r="G424">
        <f t="shared" si="20"/>
        <v>0</v>
      </c>
    </row>
    <row r="425" spans="1:7" ht="15.75" customHeight="1" x14ac:dyDescent="0.25">
      <c r="A425" s="33">
        <v>28</v>
      </c>
      <c r="B425" s="34">
        <v>6.93</v>
      </c>
      <c r="C425" s="36">
        <v>71.62</v>
      </c>
      <c r="D425" s="33" t="s">
        <v>9</v>
      </c>
      <c r="E425">
        <f t="shared" si="18"/>
        <v>0</v>
      </c>
      <c r="F425">
        <f t="shared" si="19"/>
        <v>1</v>
      </c>
      <c r="G425">
        <f t="shared" si="20"/>
        <v>0</v>
      </c>
    </row>
    <row r="426" spans="1:7" ht="15.75" customHeight="1" x14ac:dyDescent="0.25">
      <c r="A426" s="33">
        <v>35</v>
      </c>
      <c r="B426" s="34">
        <v>8.74</v>
      </c>
      <c r="C426" s="36">
        <v>72.92</v>
      </c>
      <c r="D426" s="33" t="s">
        <v>9</v>
      </c>
      <c r="E426">
        <f t="shared" si="18"/>
        <v>0</v>
      </c>
      <c r="F426">
        <f t="shared" si="19"/>
        <v>1</v>
      </c>
      <c r="G426">
        <f t="shared" si="20"/>
        <v>0</v>
      </c>
    </row>
    <row r="427" spans="1:7" ht="15.75" customHeight="1" x14ac:dyDescent="0.25">
      <c r="A427" s="33">
        <v>29</v>
      </c>
      <c r="B427" s="34">
        <v>7.9</v>
      </c>
      <c r="C427" s="36">
        <v>41.49</v>
      </c>
      <c r="D427" s="33" t="s">
        <v>9</v>
      </c>
      <c r="E427">
        <f t="shared" si="18"/>
        <v>0</v>
      </c>
      <c r="F427">
        <f t="shared" si="19"/>
        <v>1</v>
      </c>
      <c r="G427">
        <f t="shared" si="20"/>
        <v>0</v>
      </c>
    </row>
    <row r="428" spans="1:7" ht="15.75" customHeight="1" x14ac:dyDescent="0.25">
      <c r="A428" s="33">
        <v>42</v>
      </c>
      <c r="B428" s="34">
        <v>6.73</v>
      </c>
      <c r="C428" s="36">
        <v>67.739999999999995</v>
      </c>
      <c r="D428" s="33" t="s">
        <v>9</v>
      </c>
      <c r="E428">
        <f t="shared" si="18"/>
        <v>0</v>
      </c>
      <c r="F428">
        <f t="shared" si="19"/>
        <v>1</v>
      </c>
      <c r="G428">
        <f t="shared" si="20"/>
        <v>0</v>
      </c>
    </row>
    <row r="429" spans="1:7" ht="15.75" customHeight="1" x14ac:dyDescent="0.25">
      <c r="A429" s="33">
        <v>14</v>
      </c>
      <c r="B429" s="34">
        <v>5.79</v>
      </c>
      <c r="C429" s="36">
        <v>43.41</v>
      </c>
      <c r="D429" s="33" t="s">
        <v>9</v>
      </c>
      <c r="E429">
        <f t="shared" si="18"/>
        <v>0</v>
      </c>
      <c r="F429">
        <f t="shared" si="19"/>
        <v>1</v>
      </c>
      <c r="G429">
        <f t="shared" si="20"/>
        <v>0</v>
      </c>
    </row>
    <row r="430" spans="1:7" ht="15.75" customHeight="1" x14ac:dyDescent="0.25">
      <c r="A430" s="33">
        <v>25</v>
      </c>
      <c r="B430" s="34">
        <v>4.99</v>
      </c>
      <c r="C430" s="36">
        <v>42.91</v>
      </c>
      <c r="D430" s="33" t="s">
        <v>9</v>
      </c>
      <c r="E430">
        <f t="shared" si="18"/>
        <v>0</v>
      </c>
      <c r="F430">
        <f t="shared" si="19"/>
        <v>1</v>
      </c>
      <c r="G430">
        <f t="shared" si="20"/>
        <v>0</v>
      </c>
    </row>
    <row r="431" spans="1:7" ht="15.75" customHeight="1" x14ac:dyDescent="0.25">
      <c r="A431" s="33">
        <v>5</v>
      </c>
      <c r="B431" s="34">
        <v>8.52</v>
      </c>
      <c r="C431" s="36">
        <v>66.650000000000006</v>
      </c>
      <c r="D431" s="33" t="s">
        <v>9</v>
      </c>
      <c r="E431">
        <f t="shared" si="18"/>
        <v>0</v>
      </c>
      <c r="F431">
        <f t="shared" si="19"/>
        <v>1</v>
      </c>
      <c r="G431">
        <f t="shared" si="20"/>
        <v>0</v>
      </c>
    </row>
    <row r="432" spans="1:7" ht="15.75" customHeight="1" x14ac:dyDescent="0.25">
      <c r="A432" s="33">
        <v>74</v>
      </c>
      <c r="B432" s="34">
        <v>6.65</v>
      </c>
      <c r="C432" s="36">
        <v>55.63</v>
      </c>
      <c r="D432" s="33" t="s">
        <v>9</v>
      </c>
      <c r="E432">
        <f t="shared" si="18"/>
        <v>0</v>
      </c>
      <c r="F432">
        <f t="shared" si="19"/>
        <v>1</v>
      </c>
      <c r="G432">
        <f t="shared" si="20"/>
        <v>0</v>
      </c>
    </row>
    <row r="433" spans="1:7" ht="15.75" customHeight="1" x14ac:dyDescent="0.25">
      <c r="A433" s="33">
        <v>2</v>
      </c>
      <c r="B433" s="34">
        <v>7.12</v>
      </c>
      <c r="C433" s="36">
        <v>89.46</v>
      </c>
      <c r="D433" s="33" t="s">
        <v>9</v>
      </c>
      <c r="E433">
        <f t="shared" si="18"/>
        <v>0</v>
      </c>
      <c r="F433">
        <f t="shared" si="19"/>
        <v>1</v>
      </c>
      <c r="G433">
        <f t="shared" si="20"/>
        <v>0</v>
      </c>
    </row>
    <row r="434" spans="1:7" ht="15.75" customHeight="1" x14ac:dyDescent="0.25">
      <c r="A434" s="33">
        <v>51</v>
      </c>
      <c r="B434" s="34">
        <v>7.45</v>
      </c>
      <c r="C434" s="36">
        <v>35.75</v>
      </c>
      <c r="D434" s="33" t="s">
        <v>9</v>
      </c>
      <c r="E434">
        <f t="shared" si="18"/>
        <v>0</v>
      </c>
      <c r="F434">
        <f t="shared" si="19"/>
        <v>1</v>
      </c>
      <c r="G434">
        <f t="shared" si="20"/>
        <v>0</v>
      </c>
    </row>
    <row r="435" spans="1:7" ht="15.75" customHeight="1" x14ac:dyDescent="0.25">
      <c r="A435" s="33">
        <v>38</v>
      </c>
      <c r="B435" s="34">
        <v>6.02</v>
      </c>
      <c r="C435" s="36">
        <v>45.03</v>
      </c>
      <c r="D435" s="33" t="s">
        <v>9</v>
      </c>
      <c r="E435">
        <f t="shared" si="18"/>
        <v>0</v>
      </c>
      <c r="F435">
        <f t="shared" si="19"/>
        <v>1</v>
      </c>
      <c r="G435">
        <f t="shared" si="20"/>
        <v>0</v>
      </c>
    </row>
    <row r="436" spans="1:7" ht="15.75" customHeight="1" x14ac:dyDescent="0.25">
      <c r="A436" s="33">
        <v>21</v>
      </c>
      <c r="B436" s="34">
        <v>7.87</v>
      </c>
      <c r="C436" s="36">
        <v>55.21</v>
      </c>
      <c r="D436" s="33" t="s">
        <v>9</v>
      </c>
      <c r="E436">
        <f t="shared" si="18"/>
        <v>0</v>
      </c>
      <c r="F436">
        <f t="shared" si="19"/>
        <v>1</v>
      </c>
      <c r="G436">
        <f t="shared" si="20"/>
        <v>0</v>
      </c>
    </row>
    <row r="437" spans="1:7" ht="15.75" customHeight="1" x14ac:dyDescent="0.25">
      <c r="A437" s="33">
        <v>48</v>
      </c>
      <c r="B437" s="34">
        <v>4.6900000000000004</v>
      </c>
      <c r="C437" s="36">
        <v>61.81</v>
      </c>
      <c r="D437" s="33" t="s">
        <v>9</v>
      </c>
      <c r="E437">
        <f t="shared" si="18"/>
        <v>0</v>
      </c>
      <c r="F437">
        <f t="shared" si="19"/>
        <v>1</v>
      </c>
      <c r="G437">
        <f t="shared" si="20"/>
        <v>0</v>
      </c>
    </row>
    <row r="438" spans="1:7" ht="15.75" customHeight="1" x14ac:dyDescent="0.25">
      <c r="A438" s="33">
        <v>14</v>
      </c>
      <c r="B438" s="34">
        <v>6.74</v>
      </c>
      <c r="C438" s="36">
        <v>79.67</v>
      </c>
      <c r="D438" s="33" t="s">
        <v>9</v>
      </c>
      <c r="E438">
        <f t="shared" si="18"/>
        <v>0</v>
      </c>
      <c r="F438">
        <f t="shared" si="19"/>
        <v>1</v>
      </c>
      <c r="G438">
        <f t="shared" si="20"/>
        <v>0</v>
      </c>
    </row>
    <row r="439" spans="1:7" ht="15.75" customHeight="1" x14ac:dyDescent="0.25">
      <c r="A439" s="33">
        <v>38</v>
      </c>
      <c r="B439" s="34">
        <v>4.92</v>
      </c>
      <c r="C439" s="36">
        <v>38.86</v>
      </c>
      <c r="D439" s="33" t="s">
        <v>9</v>
      </c>
      <c r="E439">
        <f t="shared" si="18"/>
        <v>0</v>
      </c>
      <c r="F439">
        <f t="shared" si="19"/>
        <v>1</v>
      </c>
      <c r="G439">
        <f t="shared" si="20"/>
        <v>0</v>
      </c>
    </row>
    <row r="440" spans="1:7" ht="15.75" customHeight="1" x14ac:dyDescent="0.25">
      <c r="A440" s="33">
        <v>36</v>
      </c>
      <c r="B440" s="34">
        <v>7.25</v>
      </c>
      <c r="C440" s="36">
        <v>91.39</v>
      </c>
      <c r="D440" s="33" t="s">
        <v>9</v>
      </c>
      <c r="E440">
        <f t="shared" si="18"/>
        <v>0</v>
      </c>
      <c r="F440">
        <f t="shared" si="19"/>
        <v>1</v>
      </c>
      <c r="G440">
        <f t="shared" si="20"/>
        <v>0</v>
      </c>
    </row>
    <row r="441" spans="1:7" ht="15.75" customHeight="1" x14ac:dyDescent="0.25">
      <c r="A441" s="33">
        <v>22</v>
      </c>
      <c r="B441" s="34">
        <v>5.05</v>
      </c>
      <c r="C441" s="36">
        <v>45.65</v>
      </c>
      <c r="D441" s="33" t="s">
        <v>9</v>
      </c>
      <c r="E441">
        <f t="shared" si="18"/>
        <v>0</v>
      </c>
      <c r="F441">
        <f t="shared" si="19"/>
        <v>1</v>
      </c>
      <c r="G441">
        <f t="shared" si="20"/>
        <v>0</v>
      </c>
    </row>
    <row r="442" spans="1:7" ht="15.75" customHeight="1" x14ac:dyDescent="0.25">
      <c r="A442" s="33">
        <v>24</v>
      </c>
      <c r="B442" s="34">
        <v>5.65</v>
      </c>
      <c r="C442" s="36">
        <v>65.02</v>
      </c>
      <c r="D442" s="33" t="s">
        <v>9</v>
      </c>
      <c r="E442">
        <f t="shared" si="18"/>
        <v>0</v>
      </c>
      <c r="F442">
        <f t="shared" si="19"/>
        <v>1</v>
      </c>
      <c r="G442">
        <f t="shared" si="20"/>
        <v>0</v>
      </c>
    </row>
    <row r="443" spans="1:7" ht="15.75" customHeight="1" x14ac:dyDescent="0.25">
      <c r="A443" s="33">
        <v>22</v>
      </c>
      <c r="B443" s="34">
        <v>9.1999999999999993</v>
      </c>
      <c r="C443" s="36">
        <v>72.510000000000005</v>
      </c>
      <c r="D443" s="33" t="s">
        <v>9</v>
      </c>
      <c r="E443">
        <f t="shared" si="18"/>
        <v>0</v>
      </c>
      <c r="F443">
        <f t="shared" si="19"/>
        <v>1</v>
      </c>
      <c r="G443">
        <f t="shared" si="20"/>
        <v>0</v>
      </c>
    </row>
    <row r="444" spans="1:7" ht="15.75" customHeight="1" x14ac:dyDescent="0.25">
      <c r="A444" s="33">
        <v>29</v>
      </c>
      <c r="B444" s="34">
        <v>6.32</v>
      </c>
      <c r="C444" s="36">
        <v>73.260000000000005</v>
      </c>
      <c r="D444" s="33" t="s">
        <v>9</v>
      </c>
      <c r="E444">
        <f t="shared" si="18"/>
        <v>0</v>
      </c>
      <c r="F444">
        <f t="shared" si="19"/>
        <v>1</v>
      </c>
      <c r="G444">
        <f t="shared" si="20"/>
        <v>0</v>
      </c>
    </row>
    <row r="445" spans="1:7" ht="15.75" customHeight="1" x14ac:dyDescent="0.25">
      <c r="A445" s="33">
        <v>7</v>
      </c>
      <c r="B445" s="34">
        <v>4.3899999999999997</v>
      </c>
      <c r="C445" s="36">
        <v>20.170000000000002</v>
      </c>
      <c r="D445" s="33" t="s">
        <v>9</v>
      </c>
      <c r="E445">
        <f t="shared" si="18"/>
        <v>0</v>
      </c>
      <c r="F445">
        <f t="shared" si="19"/>
        <v>1</v>
      </c>
      <c r="G445">
        <f t="shared" si="20"/>
        <v>0</v>
      </c>
    </row>
    <row r="446" spans="1:7" ht="15.75" customHeight="1" x14ac:dyDescent="0.25">
      <c r="A446" s="33">
        <v>43</v>
      </c>
      <c r="B446" s="34">
        <v>9.18</v>
      </c>
      <c r="C446" s="36">
        <v>65.19</v>
      </c>
      <c r="D446" s="33" t="s">
        <v>9</v>
      </c>
      <c r="E446">
        <f t="shared" si="18"/>
        <v>0</v>
      </c>
      <c r="F446">
        <f t="shared" si="19"/>
        <v>1</v>
      </c>
      <c r="G446">
        <f t="shared" si="20"/>
        <v>0</v>
      </c>
    </row>
    <row r="447" spans="1:7" ht="15.75" customHeight="1" x14ac:dyDescent="0.25">
      <c r="A447" s="33">
        <v>15</v>
      </c>
      <c r="B447" s="34">
        <v>7.42</v>
      </c>
      <c r="C447" s="36">
        <v>53.4</v>
      </c>
      <c r="D447" s="33" t="s">
        <v>9</v>
      </c>
      <c r="E447">
        <f t="shared" si="18"/>
        <v>0</v>
      </c>
      <c r="F447">
        <f t="shared" si="19"/>
        <v>1</v>
      </c>
      <c r="G447">
        <f t="shared" si="20"/>
        <v>0</v>
      </c>
    </row>
    <row r="448" spans="1:7" ht="15.75" customHeight="1" x14ac:dyDescent="0.25">
      <c r="A448" s="33">
        <v>14</v>
      </c>
      <c r="B448" s="34">
        <v>9.69</v>
      </c>
      <c r="C448" s="36">
        <v>82.07</v>
      </c>
      <c r="D448" s="33" t="s">
        <v>9</v>
      </c>
      <c r="E448">
        <f t="shared" si="18"/>
        <v>0</v>
      </c>
      <c r="F448">
        <f t="shared" si="19"/>
        <v>1</v>
      </c>
      <c r="G448">
        <f t="shared" si="20"/>
        <v>0</v>
      </c>
    </row>
    <row r="449" spans="1:7" ht="15.75" customHeight="1" x14ac:dyDescent="0.25">
      <c r="A449" s="33">
        <v>2</v>
      </c>
      <c r="B449" s="34">
        <v>6.03</v>
      </c>
      <c r="C449" s="36">
        <v>66.72</v>
      </c>
      <c r="D449" s="33" t="s">
        <v>9</v>
      </c>
      <c r="E449">
        <f t="shared" si="18"/>
        <v>0</v>
      </c>
      <c r="F449">
        <f t="shared" si="19"/>
        <v>1</v>
      </c>
      <c r="G449">
        <f t="shared" si="20"/>
        <v>0</v>
      </c>
    </row>
    <row r="450" spans="1:7" ht="15.75" customHeight="1" x14ac:dyDescent="0.25">
      <c r="A450" s="33">
        <v>68</v>
      </c>
      <c r="B450" s="34">
        <v>4.37</v>
      </c>
      <c r="C450" s="36">
        <v>23.31</v>
      </c>
      <c r="D450" s="33" t="s">
        <v>9</v>
      </c>
      <c r="E450">
        <f t="shared" ref="E450:E513" si="21">IF(D450="bien de conso.",1,0)</f>
        <v>0</v>
      </c>
      <c r="F450">
        <f t="shared" ref="F450:F513" si="22">IF($D450="nourriture",1,0)</f>
        <v>1</v>
      </c>
      <c r="G450">
        <f t="shared" ref="G450:G513" si="23">IF($D450="high tech",1,0)</f>
        <v>0</v>
      </c>
    </row>
    <row r="451" spans="1:7" ht="15.75" customHeight="1" x14ac:dyDescent="0.25">
      <c r="A451" s="33">
        <v>19</v>
      </c>
      <c r="B451" s="34">
        <v>7.73</v>
      </c>
      <c r="C451" s="36">
        <v>75.430000000000007</v>
      </c>
      <c r="D451" s="33" t="s">
        <v>9</v>
      </c>
      <c r="E451">
        <f t="shared" si="21"/>
        <v>0</v>
      </c>
      <c r="F451">
        <f t="shared" si="22"/>
        <v>1</v>
      </c>
      <c r="G451">
        <f t="shared" si="23"/>
        <v>0</v>
      </c>
    </row>
    <row r="452" spans="1:7" ht="15.75" customHeight="1" x14ac:dyDescent="0.25">
      <c r="A452" s="33">
        <v>10</v>
      </c>
      <c r="B452" s="34">
        <v>4.8</v>
      </c>
      <c r="C452" s="36">
        <v>29.99</v>
      </c>
      <c r="D452" s="33" t="s">
        <v>9</v>
      </c>
      <c r="E452">
        <f t="shared" si="21"/>
        <v>0</v>
      </c>
      <c r="F452">
        <f t="shared" si="22"/>
        <v>1</v>
      </c>
      <c r="G452">
        <f t="shared" si="23"/>
        <v>0</v>
      </c>
    </row>
    <row r="453" spans="1:7" ht="15.75" customHeight="1" x14ac:dyDescent="0.25">
      <c r="A453" s="33">
        <v>29</v>
      </c>
      <c r="B453" s="34">
        <v>4.8499999999999996</v>
      </c>
      <c r="C453" s="36">
        <v>59.93</v>
      </c>
      <c r="D453" s="33" t="s">
        <v>9</v>
      </c>
      <c r="E453">
        <f t="shared" si="21"/>
        <v>0</v>
      </c>
      <c r="F453">
        <f t="shared" si="22"/>
        <v>1</v>
      </c>
      <c r="G453">
        <f t="shared" si="23"/>
        <v>0</v>
      </c>
    </row>
    <row r="454" spans="1:7" ht="15.75" customHeight="1" x14ac:dyDescent="0.25">
      <c r="A454" s="33">
        <v>50</v>
      </c>
      <c r="B454" s="34">
        <v>8.42</v>
      </c>
      <c r="C454" s="36">
        <v>88.33</v>
      </c>
      <c r="D454" s="33" t="s">
        <v>9</v>
      </c>
      <c r="E454">
        <f t="shared" si="21"/>
        <v>0</v>
      </c>
      <c r="F454">
        <f t="shared" si="22"/>
        <v>1</v>
      </c>
      <c r="G454">
        <f t="shared" si="23"/>
        <v>0</v>
      </c>
    </row>
    <row r="455" spans="1:7" ht="15.75" customHeight="1" x14ac:dyDescent="0.25">
      <c r="A455" s="33">
        <v>2</v>
      </c>
      <c r="B455" s="34">
        <v>9.73</v>
      </c>
      <c r="C455" s="36">
        <v>94.71</v>
      </c>
      <c r="D455" s="33" t="s">
        <v>9</v>
      </c>
      <c r="E455">
        <f t="shared" si="21"/>
        <v>0</v>
      </c>
      <c r="F455">
        <f t="shared" si="22"/>
        <v>1</v>
      </c>
      <c r="G455">
        <f t="shared" si="23"/>
        <v>0</v>
      </c>
    </row>
    <row r="456" spans="1:7" ht="15.75" customHeight="1" x14ac:dyDescent="0.25">
      <c r="A456" s="33">
        <v>40</v>
      </c>
      <c r="B456" s="34">
        <v>9.27</v>
      </c>
      <c r="C456" s="36">
        <v>55.3</v>
      </c>
      <c r="D456" s="33" t="s">
        <v>9</v>
      </c>
      <c r="E456">
        <f t="shared" si="21"/>
        <v>0</v>
      </c>
      <c r="F456">
        <f t="shared" si="22"/>
        <v>1</v>
      </c>
      <c r="G456">
        <f t="shared" si="23"/>
        <v>0</v>
      </c>
    </row>
    <row r="457" spans="1:7" ht="15.75" customHeight="1" x14ac:dyDescent="0.25">
      <c r="A457" s="33">
        <v>23</v>
      </c>
      <c r="B457" s="34">
        <v>4.6100000000000003</v>
      </c>
      <c r="C457" s="36">
        <v>41.34</v>
      </c>
      <c r="D457" s="33" t="s">
        <v>9</v>
      </c>
      <c r="E457">
        <f t="shared" si="21"/>
        <v>0</v>
      </c>
      <c r="F457">
        <f t="shared" si="22"/>
        <v>1</v>
      </c>
      <c r="G457">
        <f t="shared" si="23"/>
        <v>0</v>
      </c>
    </row>
    <row r="458" spans="1:7" ht="15.75" customHeight="1" x14ac:dyDescent="0.25">
      <c r="A458" s="33">
        <v>35</v>
      </c>
      <c r="B458" s="34">
        <v>7.46</v>
      </c>
      <c r="C458" s="36">
        <v>55.88</v>
      </c>
      <c r="D458" s="33" t="s">
        <v>9</v>
      </c>
      <c r="E458">
        <f t="shared" si="21"/>
        <v>0</v>
      </c>
      <c r="F458">
        <f t="shared" si="22"/>
        <v>1</v>
      </c>
      <c r="G458">
        <f t="shared" si="23"/>
        <v>0</v>
      </c>
    </row>
    <row r="459" spans="1:7" ht="15.75" customHeight="1" x14ac:dyDescent="0.25">
      <c r="A459" s="33">
        <v>36</v>
      </c>
      <c r="B459" s="34">
        <v>5.86</v>
      </c>
      <c r="C459" s="36">
        <v>50.94</v>
      </c>
      <c r="D459" s="33" t="s">
        <v>9</v>
      </c>
      <c r="E459">
        <f t="shared" si="21"/>
        <v>0</v>
      </c>
      <c r="F459">
        <f t="shared" si="22"/>
        <v>1</v>
      </c>
      <c r="G459">
        <f t="shared" si="23"/>
        <v>0</v>
      </c>
    </row>
    <row r="460" spans="1:7" ht="15.75" customHeight="1" x14ac:dyDescent="0.25">
      <c r="A460" s="33">
        <v>8</v>
      </c>
      <c r="B460" s="34">
        <v>9.1999999999999993</v>
      </c>
      <c r="C460" s="36">
        <v>73.45</v>
      </c>
      <c r="D460" s="33" t="s">
        <v>9</v>
      </c>
      <c r="E460">
        <f t="shared" si="21"/>
        <v>0</v>
      </c>
      <c r="F460">
        <f t="shared" si="22"/>
        <v>1</v>
      </c>
      <c r="G460">
        <f t="shared" si="23"/>
        <v>0</v>
      </c>
    </row>
    <row r="461" spans="1:7" ht="15.75" customHeight="1" x14ac:dyDescent="0.25">
      <c r="A461" s="33">
        <v>20</v>
      </c>
      <c r="B461" s="34">
        <v>4.46</v>
      </c>
      <c r="C461" s="36">
        <v>34.049999999999997</v>
      </c>
      <c r="D461" s="33" t="s">
        <v>9</v>
      </c>
      <c r="E461">
        <f t="shared" si="21"/>
        <v>0</v>
      </c>
      <c r="F461">
        <f t="shared" si="22"/>
        <v>1</v>
      </c>
      <c r="G461">
        <f t="shared" si="23"/>
        <v>0</v>
      </c>
    </row>
    <row r="462" spans="1:7" ht="15.75" customHeight="1" x14ac:dyDescent="0.25">
      <c r="A462" s="33">
        <v>37</v>
      </c>
      <c r="B462" s="34">
        <v>9.44</v>
      </c>
      <c r="C462" s="36">
        <v>61.2</v>
      </c>
      <c r="D462" s="33" t="s">
        <v>9</v>
      </c>
      <c r="E462">
        <f t="shared" si="21"/>
        <v>0</v>
      </c>
      <c r="F462">
        <f t="shared" si="22"/>
        <v>1</v>
      </c>
      <c r="G462">
        <f t="shared" si="23"/>
        <v>0</v>
      </c>
    </row>
    <row r="463" spans="1:7" ht="15.75" customHeight="1" x14ac:dyDescent="0.25">
      <c r="A463" s="33">
        <v>46</v>
      </c>
      <c r="B463" s="34">
        <v>9.4700000000000006</v>
      </c>
      <c r="C463" s="36">
        <v>75.08</v>
      </c>
      <c r="D463" s="33" t="s">
        <v>9</v>
      </c>
      <c r="E463">
        <f t="shared" si="21"/>
        <v>0</v>
      </c>
      <c r="F463">
        <f t="shared" si="22"/>
        <v>1</v>
      </c>
      <c r="G463">
        <f t="shared" si="23"/>
        <v>0</v>
      </c>
    </row>
    <row r="464" spans="1:7" ht="15.75" customHeight="1" x14ac:dyDescent="0.25">
      <c r="A464" s="33">
        <v>26</v>
      </c>
      <c r="B464" s="34">
        <v>7.81</v>
      </c>
      <c r="C464" s="36">
        <v>71.47</v>
      </c>
      <c r="D464" s="33" t="s">
        <v>9</v>
      </c>
      <c r="E464">
        <f t="shared" si="21"/>
        <v>0</v>
      </c>
      <c r="F464">
        <f t="shared" si="22"/>
        <v>1</v>
      </c>
      <c r="G464">
        <f t="shared" si="23"/>
        <v>0</v>
      </c>
    </row>
    <row r="465" spans="1:7" ht="15.75" customHeight="1" x14ac:dyDescent="0.25">
      <c r="A465" s="33">
        <v>31</v>
      </c>
      <c r="B465" s="34">
        <v>6.34</v>
      </c>
      <c r="C465" s="36">
        <v>56.08</v>
      </c>
      <c r="D465" s="33" t="s">
        <v>9</v>
      </c>
      <c r="E465">
        <f t="shared" si="21"/>
        <v>0</v>
      </c>
      <c r="F465">
        <f t="shared" si="22"/>
        <v>1</v>
      </c>
      <c r="G465">
        <f t="shared" si="23"/>
        <v>0</v>
      </c>
    </row>
    <row r="466" spans="1:7" ht="15.75" customHeight="1" x14ac:dyDescent="0.25">
      <c r="A466" s="33">
        <v>40</v>
      </c>
      <c r="B466" s="34">
        <v>5.5</v>
      </c>
      <c r="C466" s="36">
        <v>70.36</v>
      </c>
      <c r="D466" s="33" t="s">
        <v>9</v>
      </c>
      <c r="E466">
        <f t="shared" si="21"/>
        <v>0</v>
      </c>
      <c r="F466">
        <f t="shared" si="22"/>
        <v>1</v>
      </c>
      <c r="G466">
        <f t="shared" si="23"/>
        <v>0</v>
      </c>
    </row>
    <row r="467" spans="1:7" ht="15.75" customHeight="1" x14ac:dyDescent="0.25">
      <c r="A467" s="33">
        <v>34</v>
      </c>
      <c r="B467" s="34">
        <v>9.99</v>
      </c>
      <c r="C467" s="36">
        <v>92.22</v>
      </c>
      <c r="D467" s="33" t="s">
        <v>9</v>
      </c>
      <c r="E467">
        <f t="shared" si="21"/>
        <v>0</v>
      </c>
      <c r="F467">
        <f t="shared" si="22"/>
        <v>1</v>
      </c>
      <c r="G467">
        <f t="shared" si="23"/>
        <v>0</v>
      </c>
    </row>
    <row r="468" spans="1:7" ht="15.75" customHeight="1" x14ac:dyDescent="0.25">
      <c r="A468" s="33">
        <v>34</v>
      </c>
      <c r="B468" s="34">
        <v>8.89</v>
      </c>
      <c r="C468" s="36">
        <v>85.79</v>
      </c>
      <c r="D468" s="33" t="s">
        <v>9</v>
      </c>
      <c r="E468">
        <f t="shared" si="21"/>
        <v>0</v>
      </c>
      <c r="F468">
        <f t="shared" si="22"/>
        <v>1</v>
      </c>
      <c r="G468">
        <f t="shared" si="23"/>
        <v>0</v>
      </c>
    </row>
    <row r="469" spans="1:7" ht="15.75" customHeight="1" x14ac:dyDescent="0.25">
      <c r="A469" s="33">
        <v>23</v>
      </c>
      <c r="B469" s="34">
        <v>9.3000000000000007</v>
      </c>
      <c r="C469" s="36">
        <v>58.26</v>
      </c>
      <c r="D469" s="33" t="s">
        <v>9</v>
      </c>
      <c r="E469">
        <f t="shared" si="21"/>
        <v>0</v>
      </c>
      <c r="F469">
        <f t="shared" si="22"/>
        <v>1</v>
      </c>
      <c r="G469">
        <f t="shared" si="23"/>
        <v>0</v>
      </c>
    </row>
    <row r="470" spans="1:7" ht="15.75" customHeight="1" x14ac:dyDescent="0.25">
      <c r="A470" s="33">
        <v>8</v>
      </c>
      <c r="B470" s="34">
        <v>6.67</v>
      </c>
      <c r="C470" s="36">
        <v>50.18</v>
      </c>
      <c r="D470" s="33" t="s">
        <v>9</v>
      </c>
      <c r="E470">
        <f t="shared" si="21"/>
        <v>0</v>
      </c>
      <c r="F470">
        <f t="shared" si="22"/>
        <v>1</v>
      </c>
      <c r="G470">
        <f t="shared" si="23"/>
        <v>0</v>
      </c>
    </row>
    <row r="471" spans="1:7" ht="15.75" customHeight="1" x14ac:dyDescent="0.25">
      <c r="A471" s="33">
        <v>18</v>
      </c>
      <c r="B471" s="34">
        <v>6.54</v>
      </c>
      <c r="C471" s="36">
        <v>60.5</v>
      </c>
      <c r="D471" s="33" t="s">
        <v>9</v>
      </c>
      <c r="E471">
        <f t="shared" si="21"/>
        <v>0</v>
      </c>
      <c r="F471">
        <f t="shared" si="22"/>
        <v>1</v>
      </c>
      <c r="G471">
        <f t="shared" si="23"/>
        <v>0</v>
      </c>
    </row>
    <row r="472" spans="1:7" ht="15.75" customHeight="1" x14ac:dyDescent="0.25">
      <c r="A472" s="33">
        <v>38</v>
      </c>
      <c r="B472" s="34">
        <v>6.92</v>
      </c>
      <c r="C472" s="36">
        <v>50.8</v>
      </c>
      <c r="D472" s="33" t="s">
        <v>9</v>
      </c>
      <c r="E472">
        <f t="shared" si="21"/>
        <v>0</v>
      </c>
      <c r="F472">
        <f t="shared" si="22"/>
        <v>1</v>
      </c>
      <c r="G472">
        <f t="shared" si="23"/>
        <v>0</v>
      </c>
    </row>
    <row r="473" spans="1:7" ht="15.75" customHeight="1" x14ac:dyDescent="0.25">
      <c r="A473" s="33">
        <v>33</v>
      </c>
      <c r="B473" s="34">
        <v>5.91</v>
      </c>
      <c r="C473" s="36">
        <v>54.85</v>
      </c>
      <c r="D473" s="33" t="s">
        <v>9</v>
      </c>
      <c r="E473">
        <f t="shared" si="21"/>
        <v>0</v>
      </c>
      <c r="F473">
        <f t="shared" si="22"/>
        <v>1</v>
      </c>
      <c r="G473">
        <f t="shared" si="23"/>
        <v>0</v>
      </c>
    </row>
    <row r="474" spans="1:7" ht="15.75" customHeight="1" x14ac:dyDescent="0.25">
      <c r="A474" s="33">
        <v>1</v>
      </c>
      <c r="B474" s="34">
        <v>5.76</v>
      </c>
      <c r="C474" s="36">
        <v>36.57</v>
      </c>
      <c r="D474" s="33" t="s">
        <v>9</v>
      </c>
      <c r="E474">
        <f t="shared" si="21"/>
        <v>0</v>
      </c>
      <c r="F474">
        <f t="shared" si="22"/>
        <v>1</v>
      </c>
      <c r="G474">
        <f t="shared" si="23"/>
        <v>0</v>
      </c>
    </row>
    <row r="475" spans="1:7" ht="15.75" customHeight="1" x14ac:dyDescent="0.25">
      <c r="A475" s="33">
        <v>28</v>
      </c>
      <c r="B475" s="34">
        <v>9.27</v>
      </c>
      <c r="C475" s="36">
        <v>81.64</v>
      </c>
      <c r="D475" s="33" t="s">
        <v>9</v>
      </c>
      <c r="E475">
        <f t="shared" si="21"/>
        <v>0</v>
      </c>
      <c r="F475">
        <f t="shared" si="22"/>
        <v>1</v>
      </c>
      <c r="G475">
        <f t="shared" si="23"/>
        <v>0</v>
      </c>
    </row>
    <row r="476" spans="1:7" ht="15.75" customHeight="1" x14ac:dyDescent="0.25">
      <c r="A476" s="33">
        <v>40</v>
      </c>
      <c r="B476" s="34">
        <v>9.2100000000000009</v>
      </c>
      <c r="C476" s="36">
        <v>67.63</v>
      </c>
      <c r="D476" s="33" t="s">
        <v>9</v>
      </c>
      <c r="E476">
        <f t="shared" si="21"/>
        <v>0</v>
      </c>
      <c r="F476">
        <f t="shared" si="22"/>
        <v>1</v>
      </c>
      <c r="G476">
        <f t="shared" si="23"/>
        <v>0</v>
      </c>
    </row>
    <row r="477" spans="1:7" ht="15.75" customHeight="1" x14ac:dyDescent="0.25">
      <c r="A477" s="33">
        <v>41</v>
      </c>
      <c r="B477" s="34">
        <v>4.6399999999999997</v>
      </c>
      <c r="C477" s="36">
        <v>38.450000000000003</v>
      </c>
      <c r="D477" s="33" t="s">
        <v>9</v>
      </c>
      <c r="E477">
        <f t="shared" si="21"/>
        <v>0</v>
      </c>
      <c r="F477">
        <f t="shared" si="22"/>
        <v>1</v>
      </c>
      <c r="G477">
        <f t="shared" si="23"/>
        <v>0</v>
      </c>
    </row>
    <row r="478" spans="1:7" ht="15.75" customHeight="1" x14ac:dyDescent="0.25">
      <c r="A478" s="33">
        <v>31</v>
      </c>
      <c r="B478" s="34">
        <v>7.46</v>
      </c>
      <c r="C478" s="36">
        <v>52.4</v>
      </c>
      <c r="D478" s="33" t="s">
        <v>9</v>
      </c>
      <c r="E478">
        <f t="shared" si="21"/>
        <v>0</v>
      </c>
      <c r="F478">
        <f t="shared" si="22"/>
        <v>1</v>
      </c>
      <c r="G478">
        <f t="shared" si="23"/>
        <v>0</v>
      </c>
    </row>
    <row r="479" spans="1:7" ht="15.75" customHeight="1" x14ac:dyDescent="0.25">
      <c r="A479" s="33">
        <v>57</v>
      </c>
      <c r="B479" s="34">
        <v>5.85</v>
      </c>
      <c r="C479" s="36">
        <v>28.16</v>
      </c>
      <c r="D479" s="33" t="s">
        <v>9</v>
      </c>
      <c r="E479">
        <f t="shared" si="21"/>
        <v>0</v>
      </c>
      <c r="F479">
        <f t="shared" si="22"/>
        <v>1</v>
      </c>
      <c r="G479">
        <f t="shared" si="23"/>
        <v>0</v>
      </c>
    </row>
    <row r="480" spans="1:7" ht="15.75" customHeight="1" x14ac:dyDescent="0.25">
      <c r="A480" s="33">
        <v>43</v>
      </c>
      <c r="B480" s="34">
        <v>6.23</v>
      </c>
      <c r="C480" s="36">
        <v>42.26</v>
      </c>
      <c r="D480" s="33" t="s">
        <v>9</v>
      </c>
      <c r="E480">
        <f t="shared" si="21"/>
        <v>0</v>
      </c>
      <c r="F480">
        <f t="shared" si="22"/>
        <v>1</v>
      </c>
      <c r="G480">
        <f t="shared" si="23"/>
        <v>0</v>
      </c>
    </row>
    <row r="481" spans="1:7" ht="15.75" customHeight="1" x14ac:dyDescent="0.25">
      <c r="A481" s="33">
        <v>24</v>
      </c>
      <c r="B481" s="34">
        <v>6.46</v>
      </c>
      <c r="C481" s="36">
        <v>50.33</v>
      </c>
      <c r="D481" s="33" t="s">
        <v>9</v>
      </c>
      <c r="E481">
        <f t="shared" si="21"/>
        <v>0</v>
      </c>
      <c r="F481">
        <f t="shared" si="22"/>
        <v>1</v>
      </c>
      <c r="G481">
        <f t="shared" si="23"/>
        <v>0</v>
      </c>
    </row>
    <row r="482" spans="1:7" ht="15.75" customHeight="1" x14ac:dyDescent="0.25">
      <c r="A482" s="33">
        <v>32</v>
      </c>
      <c r="B482" s="34">
        <v>7.48</v>
      </c>
      <c r="C482" s="36">
        <v>49.8</v>
      </c>
      <c r="D482" s="33" t="s">
        <v>9</v>
      </c>
      <c r="E482">
        <f t="shared" si="21"/>
        <v>0</v>
      </c>
      <c r="F482">
        <f t="shared" si="22"/>
        <v>1</v>
      </c>
      <c r="G482">
        <f t="shared" si="23"/>
        <v>0</v>
      </c>
    </row>
    <row r="483" spans="1:7" ht="15.75" customHeight="1" x14ac:dyDescent="0.25">
      <c r="A483" s="33">
        <v>48</v>
      </c>
      <c r="B483" s="34">
        <v>5.93</v>
      </c>
      <c r="C483" s="36">
        <v>10.96</v>
      </c>
      <c r="D483" s="33" t="s">
        <v>9</v>
      </c>
      <c r="E483">
        <f t="shared" si="21"/>
        <v>0</v>
      </c>
      <c r="F483">
        <f t="shared" si="22"/>
        <v>1</v>
      </c>
      <c r="G483">
        <f t="shared" si="23"/>
        <v>0</v>
      </c>
    </row>
    <row r="484" spans="1:7" ht="15.75" customHeight="1" x14ac:dyDescent="0.25">
      <c r="A484" s="33">
        <v>51</v>
      </c>
      <c r="B484" s="34">
        <v>4.96</v>
      </c>
      <c r="C484" s="36">
        <v>35.53</v>
      </c>
      <c r="D484" s="33" t="s">
        <v>9</v>
      </c>
      <c r="E484">
        <f t="shared" si="21"/>
        <v>0</v>
      </c>
      <c r="F484">
        <f t="shared" si="22"/>
        <v>1</v>
      </c>
      <c r="G484">
        <f t="shared" si="23"/>
        <v>0</v>
      </c>
    </row>
    <row r="485" spans="1:7" ht="15.75" customHeight="1" x14ac:dyDescent="0.25">
      <c r="A485" s="33">
        <v>7</v>
      </c>
      <c r="B485" s="34">
        <v>4.0599999999999996</v>
      </c>
      <c r="C485" s="36">
        <v>21.98</v>
      </c>
      <c r="D485" s="33" t="s">
        <v>9</v>
      </c>
      <c r="E485">
        <f t="shared" si="21"/>
        <v>0</v>
      </c>
      <c r="F485">
        <f t="shared" si="22"/>
        <v>1</v>
      </c>
      <c r="G485">
        <f t="shared" si="23"/>
        <v>0</v>
      </c>
    </row>
    <row r="486" spans="1:7" ht="15.75" customHeight="1" x14ac:dyDescent="0.25">
      <c r="A486" s="33">
        <v>29</v>
      </c>
      <c r="B486" s="34">
        <v>4.1500000000000004</v>
      </c>
      <c r="C486" s="36">
        <v>20.84</v>
      </c>
      <c r="D486" s="33" t="s">
        <v>9</v>
      </c>
      <c r="E486">
        <f t="shared" si="21"/>
        <v>0</v>
      </c>
      <c r="F486">
        <f t="shared" si="22"/>
        <v>1</v>
      </c>
      <c r="G486">
        <f t="shared" si="23"/>
        <v>0</v>
      </c>
    </row>
    <row r="487" spans="1:7" ht="15.75" customHeight="1" x14ac:dyDescent="0.25">
      <c r="A487" s="33">
        <v>32</v>
      </c>
      <c r="B487" s="34">
        <v>4.3099999999999996</v>
      </c>
      <c r="C487" s="36">
        <v>33.97</v>
      </c>
      <c r="D487" s="33" t="s">
        <v>9</v>
      </c>
      <c r="E487">
        <f t="shared" si="21"/>
        <v>0</v>
      </c>
      <c r="F487">
        <f t="shared" si="22"/>
        <v>1</v>
      </c>
      <c r="G487">
        <f t="shared" si="23"/>
        <v>0</v>
      </c>
    </row>
    <row r="488" spans="1:7" ht="15.75" customHeight="1" x14ac:dyDescent="0.25">
      <c r="A488" s="33">
        <v>39</v>
      </c>
      <c r="B488" s="34">
        <v>7.07</v>
      </c>
      <c r="C488" s="36">
        <v>48.18</v>
      </c>
      <c r="D488" s="33" t="s">
        <v>9</v>
      </c>
      <c r="E488">
        <f t="shared" si="21"/>
        <v>0</v>
      </c>
      <c r="F488">
        <f t="shared" si="22"/>
        <v>1</v>
      </c>
      <c r="G488">
        <f t="shared" si="23"/>
        <v>0</v>
      </c>
    </row>
    <row r="489" spans="1:7" ht="15.75" customHeight="1" x14ac:dyDescent="0.25">
      <c r="A489" s="33">
        <v>37</v>
      </c>
      <c r="B489" s="34">
        <v>6.64</v>
      </c>
      <c r="C489" s="36">
        <v>66.959999999999994</v>
      </c>
      <c r="D489" s="33" t="s">
        <v>9</v>
      </c>
      <c r="E489">
        <f t="shared" si="21"/>
        <v>0</v>
      </c>
      <c r="F489">
        <f t="shared" si="22"/>
        <v>1</v>
      </c>
      <c r="G489">
        <f t="shared" si="23"/>
        <v>0</v>
      </c>
    </row>
    <row r="490" spans="1:7" ht="15.75" customHeight="1" x14ac:dyDescent="0.25">
      <c r="A490" s="33">
        <v>15</v>
      </c>
      <c r="B490" s="34">
        <v>4.62</v>
      </c>
      <c r="C490" s="36">
        <v>65.36</v>
      </c>
      <c r="D490" s="33" t="s">
        <v>9</v>
      </c>
      <c r="E490">
        <f t="shared" si="21"/>
        <v>0</v>
      </c>
      <c r="F490">
        <f t="shared" si="22"/>
        <v>1</v>
      </c>
      <c r="G490">
        <f t="shared" si="23"/>
        <v>0</v>
      </c>
    </row>
    <row r="491" spans="1:7" ht="15.75" customHeight="1" x14ac:dyDescent="0.25">
      <c r="A491" s="33">
        <v>52</v>
      </c>
      <c r="B491" s="34">
        <v>4.03</v>
      </c>
      <c r="C491" s="36">
        <v>25.68</v>
      </c>
      <c r="D491" s="33" t="s">
        <v>9</v>
      </c>
      <c r="E491">
        <f t="shared" si="21"/>
        <v>0</v>
      </c>
      <c r="F491">
        <f t="shared" si="22"/>
        <v>1</v>
      </c>
      <c r="G491">
        <f t="shared" si="23"/>
        <v>0</v>
      </c>
    </row>
    <row r="492" spans="1:7" ht="15.75" customHeight="1" x14ac:dyDescent="0.25">
      <c r="A492" s="33">
        <v>23</v>
      </c>
      <c r="B492" s="34">
        <v>8.9700000000000006</v>
      </c>
      <c r="C492" s="36">
        <v>53.51</v>
      </c>
      <c r="D492" s="33" t="s">
        <v>9</v>
      </c>
      <c r="E492">
        <f t="shared" si="21"/>
        <v>0</v>
      </c>
      <c r="F492">
        <f t="shared" si="22"/>
        <v>1</v>
      </c>
      <c r="G492">
        <f t="shared" si="23"/>
        <v>0</v>
      </c>
    </row>
    <row r="493" spans="1:7" ht="15.75" customHeight="1" x14ac:dyDescent="0.25">
      <c r="A493" s="33">
        <v>50</v>
      </c>
      <c r="B493" s="34">
        <v>5.21</v>
      </c>
      <c r="C493" s="36">
        <v>92.88</v>
      </c>
      <c r="D493" s="33" t="s">
        <v>9</v>
      </c>
      <c r="E493">
        <f t="shared" si="21"/>
        <v>0</v>
      </c>
      <c r="F493">
        <f t="shared" si="22"/>
        <v>1</v>
      </c>
      <c r="G493">
        <f t="shared" si="23"/>
        <v>0</v>
      </c>
    </row>
    <row r="494" spans="1:7" ht="15.75" customHeight="1" x14ac:dyDescent="0.25">
      <c r="A494" s="33">
        <v>17</v>
      </c>
      <c r="B494" s="34">
        <v>7.93</v>
      </c>
      <c r="C494" s="36">
        <v>61.63</v>
      </c>
      <c r="D494" s="33" t="s">
        <v>9</v>
      </c>
      <c r="E494">
        <f t="shared" si="21"/>
        <v>0</v>
      </c>
      <c r="F494">
        <f t="shared" si="22"/>
        <v>1</v>
      </c>
      <c r="G494">
        <f t="shared" si="23"/>
        <v>0</v>
      </c>
    </row>
    <row r="495" spans="1:7" ht="15.75" customHeight="1" x14ac:dyDescent="0.25">
      <c r="A495" s="33">
        <v>19</v>
      </c>
      <c r="B495" s="34">
        <v>4.12</v>
      </c>
      <c r="C495" s="36">
        <v>37.869999999999997</v>
      </c>
      <c r="D495" s="33" t="s">
        <v>9</v>
      </c>
      <c r="E495">
        <f t="shared" si="21"/>
        <v>0</v>
      </c>
      <c r="F495">
        <f t="shared" si="22"/>
        <v>1</v>
      </c>
      <c r="G495">
        <f t="shared" si="23"/>
        <v>0</v>
      </c>
    </row>
    <row r="496" spans="1:7" ht="15.75" customHeight="1" x14ac:dyDescent="0.25">
      <c r="A496" s="33">
        <v>8</v>
      </c>
      <c r="B496" s="34">
        <v>4.62</v>
      </c>
      <c r="C496" s="36">
        <v>24.61</v>
      </c>
      <c r="D496" s="33" t="s">
        <v>9</v>
      </c>
      <c r="E496">
        <f t="shared" si="21"/>
        <v>0</v>
      </c>
      <c r="F496">
        <f t="shared" si="22"/>
        <v>1</v>
      </c>
      <c r="G496">
        <f t="shared" si="23"/>
        <v>0</v>
      </c>
    </row>
    <row r="497" spans="1:7" ht="15.75" customHeight="1" x14ac:dyDescent="0.25">
      <c r="A497" s="33">
        <v>4</v>
      </c>
      <c r="B497" s="34">
        <v>7.06</v>
      </c>
      <c r="C497" s="36">
        <v>40.79</v>
      </c>
      <c r="D497" s="33" t="s">
        <v>9</v>
      </c>
      <c r="E497">
        <f t="shared" si="21"/>
        <v>0</v>
      </c>
      <c r="F497">
        <f t="shared" si="22"/>
        <v>1</v>
      </c>
      <c r="G497">
        <f t="shared" si="23"/>
        <v>0</v>
      </c>
    </row>
    <row r="498" spans="1:7" ht="15.75" customHeight="1" x14ac:dyDescent="0.25">
      <c r="A498" s="33">
        <v>3</v>
      </c>
      <c r="B498" s="34">
        <v>9.23</v>
      </c>
      <c r="C498" s="36">
        <v>94.26</v>
      </c>
      <c r="D498" s="33" t="s">
        <v>9</v>
      </c>
      <c r="E498">
        <f t="shared" si="21"/>
        <v>0</v>
      </c>
      <c r="F498">
        <f t="shared" si="22"/>
        <v>1</v>
      </c>
      <c r="G498">
        <f t="shared" si="23"/>
        <v>0</v>
      </c>
    </row>
    <row r="499" spans="1:7" ht="15.75" customHeight="1" x14ac:dyDescent="0.25">
      <c r="A499" s="33">
        <v>57</v>
      </c>
      <c r="B499" s="34">
        <v>5.96</v>
      </c>
      <c r="C499" s="36">
        <v>84.26</v>
      </c>
      <c r="D499" s="33" t="s">
        <v>9</v>
      </c>
      <c r="E499">
        <f t="shared" si="21"/>
        <v>0</v>
      </c>
      <c r="F499">
        <f t="shared" si="22"/>
        <v>1</v>
      </c>
      <c r="G499">
        <f t="shared" si="23"/>
        <v>0</v>
      </c>
    </row>
    <row r="500" spans="1:7" ht="15.75" customHeight="1" x14ac:dyDescent="0.25">
      <c r="A500" s="33">
        <v>30</v>
      </c>
      <c r="B500" s="34">
        <v>9.24</v>
      </c>
      <c r="C500" s="36">
        <v>77.36</v>
      </c>
      <c r="D500" s="33" t="s">
        <v>9</v>
      </c>
      <c r="E500">
        <f t="shared" si="21"/>
        <v>0</v>
      </c>
      <c r="F500">
        <f t="shared" si="22"/>
        <v>1</v>
      </c>
      <c r="G500">
        <f t="shared" si="23"/>
        <v>0</v>
      </c>
    </row>
    <row r="501" spans="1:7" ht="15.75" customHeight="1" x14ac:dyDescent="0.25">
      <c r="A501" s="33">
        <v>7</v>
      </c>
      <c r="B501" s="34">
        <v>5.84</v>
      </c>
      <c r="C501" s="36">
        <v>40.15</v>
      </c>
      <c r="D501" s="33" t="s">
        <v>9</v>
      </c>
      <c r="E501">
        <f t="shared" si="21"/>
        <v>0</v>
      </c>
      <c r="F501">
        <f t="shared" si="22"/>
        <v>1</v>
      </c>
      <c r="G501">
        <f t="shared" si="23"/>
        <v>0</v>
      </c>
    </row>
    <row r="502" spans="1:7" ht="15.75" customHeight="1" x14ac:dyDescent="0.25">
      <c r="A502" s="33">
        <v>24</v>
      </c>
      <c r="B502" s="34">
        <v>4.66</v>
      </c>
      <c r="C502" s="36">
        <v>36.200000000000003</v>
      </c>
      <c r="D502" s="33" t="s">
        <v>9</v>
      </c>
      <c r="E502">
        <f t="shared" si="21"/>
        <v>0</v>
      </c>
      <c r="F502">
        <f t="shared" si="22"/>
        <v>1</v>
      </c>
      <c r="G502">
        <f t="shared" si="23"/>
        <v>0</v>
      </c>
    </row>
    <row r="503" spans="1:7" ht="15.75" customHeight="1" x14ac:dyDescent="0.25">
      <c r="A503" s="33">
        <v>27</v>
      </c>
      <c r="B503" s="34">
        <v>8.41</v>
      </c>
      <c r="C503" s="36">
        <v>54.49</v>
      </c>
      <c r="D503" s="33" t="s">
        <v>9</v>
      </c>
      <c r="E503">
        <f t="shared" si="21"/>
        <v>0</v>
      </c>
      <c r="F503">
        <f t="shared" si="22"/>
        <v>1</v>
      </c>
      <c r="G503">
        <f t="shared" si="23"/>
        <v>0</v>
      </c>
    </row>
    <row r="504" spans="1:7" ht="15.75" customHeight="1" x14ac:dyDescent="0.25">
      <c r="A504" s="33">
        <v>21</v>
      </c>
      <c r="B504" s="34">
        <v>9.15</v>
      </c>
      <c r="C504" s="36">
        <v>78.58</v>
      </c>
      <c r="D504" s="33" t="s">
        <v>9</v>
      </c>
      <c r="E504">
        <f t="shared" si="21"/>
        <v>0</v>
      </c>
      <c r="F504">
        <f t="shared" si="22"/>
        <v>1</v>
      </c>
      <c r="G504">
        <f t="shared" si="23"/>
        <v>0</v>
      </c>
    </row>
    <row r="505" spans="1:7" ht="15.75" customHeight="1" x14ac:dyDescent="0.25">
      <c r="A505" s="33">
        <v>13</v>
      </c>
      <c r="B505" s="34">
        <v>5.67</v>
      </c>
      <c r="C505" s="36">
        <v>61.28</v>
      </c>
      <c r="D505" s="33" t="s">
        <v>9</v>
      </c>
      <c r="E505">
        <f t="shared" si="21"/>
        <v>0</v>
      </c>
      <c r="F505">
        <f t="shared" si="22"/>
        <v>1</v>
      </c>
      <c r="G505">
        <f t="shared" si="23"/>
        <v>0</v>
      </c>
    </row>
    <row r="506" spans="1:7" ht="15.75" customHeight="1" x14ac:dyDescent="0.25">
      <c r="A506" s="33">
        <v>15</v>
      </c>
      <c r="B506" s="34">
        <v>5.59</v>
      </c>
      <c r="C506" s="36">
        <v>68.12</v>
      </c>
      <c r="D506" s="33" t="s">
        <v>9</v>
      </c>
      <c r="E506">
        <f t="shared" si="21"/>
        <v>0</v>
      </c>
      <c r="F506">
        <f t="shared" si="22"/>
        <v>1</v>
      </c>
      <c r="G506">
        <f t="shared" si="23"/>
        <v>0</v>
      </c>
    </row>
    <row r="507" spans="1:7" ht="15.75" customHeight="1" x14ac:dyDescent="0.25">
      <c r="A507" s="33">
        <v>17</v>
      </c>
      <c r="B507" s="34">
        <v>9.1</v>
      </c>
      <c r="C507" s="36">
        <v>52.07</v>
      </c>
      <c r="D507" s="33" t="s">
        <v>9</v>
      </c>
      <c r="E507">
        <f t="shared" si="21"/>
        <v>0</v>
      </c>
      <c r="F507">
        <f t="shared" si="22"/>
        <v>1</v>
      </c>
      <c r="G507">
        <f t="shared" si="23"/>
        <v>0</v>
      </c>
    </row>
    <row r="508" spans="1:7" ht="15.75" customHeight="1" x14ac:dyDescent="0.25">
      <c r="A508" s="33">
        <v>32</v>
      </c>
      <c r="B508" s="34">
        <v>6.24</v>
      </c>
      <c r="C508" s="36">
        <v>54.93</v>
      </c>
      <c r="D508" s="33" t="s">
        <v>9</v>
      </c>
      <c r="E508">
        <f t="shared" si="21"/>
        <v>0</v>
      </c>
      <c r="F508">
        <f t="shared" si="22"/>
        <v>1</v>
      </c>
      <c r="G508">
        <f t="shared" si="23"/>
        <v>0</v>
      </c>
    </row>
    <row r="509" spans="1:7" ht="15.75" customHeight="1" x14ac:dyDescent="0.25">
      <c r="A509" s="33">
        <v>22</v>
      </c>
      <c r="B509" s="34">
        <v>8.1</v>
      </c>
      <c r="C509" s="36">
        <v>65.84</v>
      </c>
      <c r="D509" s="33" t="s">
        <v>9</v>
      </c>
      <c r="E509">
        <f t="shared" si="21"/>
        <v>0</v>
      </c>
      <c r="F509">
        <f t="shared" si="22"/>
        <v>1</v>
      </c>
      <c r="G509">
        <f t="shared" si="23"/>
        <v>0</v>
      </c>
    </row>
    <row r="510" spans="1:7" ht="15.75" customHeight="1" x14ac:dyDescent="0.25">
      <c r="A510" s="33">
        <v>42</v>
      </c>
      <c r="B510" s="34">
        <v>5.61</v>
      </c>
      <c r="C510" s="36">
        <v>47.22</v>
      </c>
      <c r="D510" s="33" t="s">
        <v>9</v>
      </c>
      <c r="E510">
        <f t="shared" si="21"/>
        <v>0</v>
      </c>
      <c r="F510">
        <f t="shared" si="22"/>
        <v>1</v>
      </c>
      <c r="G510">
        <f t="shared" si="23"/>
        <v>0</v>
      </c>
    </row>
    <row r="511" spans="1:7" ht="15.75" customHeight="1" x14ac:dyDescent="0.25">
      <c r="A511" s="33">
        <v>25</v>
      </c>
      <c r="B511" s="34">
        <v>5.48</v>
      </c>
      <c r="C511" s="36">
        <v>34.47</v>
      </c>
      <c r="D511" s="33" t="s">
        <v>9</v>
      </c>
      <c r="E511">
        <f t="shared" si="21"/>
        <v>0</v>
      </c>
      <c r="F511">
        <f t="shared" si="22"/>
        <v>1</v>
      </c>
      <c r="G511">
        <f t="shared" si="23"/>
        <v>0</v>
      </c>
    </row>
    <row r="512" spans="1:7" ht="15.75" customHeight="1" x14ac:dyDescent="0.25">
      <c r="A512" s="33">
        <v>10</v>
      </c>
      <c r="B512" s="34">
        <v>4.26</v>
      </c>
      <c r="C512" s="36">
        <v>43.55</v>
      </c>
      <c r="D512" s="33" t="s">
        <v>9</v>
      </c>
      <c r="E512">
        <f t="shared" si="21"/>
        <v>0</v>
      </c>
      <c r="F512">
        <f t="shared" si="22"/>
        <v>1</v>
      </c>
      <c r="G512">
        <f t="shared" si="23"/>
        <v>0</v>
      </c>
    </row>
    <row r="513" spans="1:7" ht="15.75" customHeight="1" x14ac:dyDescent="0.25">
      <c r="A513" s="33">
        <v>26</v>
      </c>
      <c r="B513" s="34">
        <v>9.68</v>
      </c>
      <c r="C513" s="36">
        <v>132.72999999999999</v>
      </c>
      <c r="D513" s="33" t="s">
        <v>9</v>
      </c>
      <c r="E513">
        <f t="shared" si="21"/>
        <v>0</v>
      </c>
      <c r="F513">
        <f t="shared" si="22"/>
        <v>1</v>
      </c>
      <c r="G513">
        <f t="shared" si="23"/>
        <v>0</v>
      </c>
    </row>
    <row r="514" spans="1:7" ht="15.75" customHeight="1" x14ac:dyDescent="0.25">
      <c r="A514" s="33">
        <v>4</v>
      </c>
      <c r="B514" s="34">
        <v>9.86</v>
      </c>
      <c r="C514" s="36">
        <v>72.349999999999994</v>
      </c>
      <c r="D514" s="33" t="s">
        <v>9</v>
      </c>
      <c r="E514">
        <f t="shared" ref="E514:E577" si="24">IF(D514="bien de conso.",1,0)</f>
        <v>0</v>
      </c>
      <c r="F514">
        <f t="shared" ref="F514:F577" si="25">IF($D514="nourriture",1,0)</f>
        <v>1</v>
      </c>
      <c r="G514">
        <f t="shared" ref="G514:G577" si="26">IF($D514="high tech",1,0)</f>
        <v>0</v>
      </c>
    </row>
    <row r="515" spans="1:7" ht="15.75" customHeight="1" x14ac:dyDescent="0.25">
      <c r="A515" s="33">
        <v>25</v>
      </c>
      <c r="B515" s="34">
        <v>4.88</v>
      </c>
      <c r="C515" s="36">
        <v>62.64</v>
      </c>
      <c r="D515" s="33" t="s">
        <v>9</v>
      </c>
      <c r="E515">
        <f t="shared" si="24"/>
        <v>0</v>
      </c>
      <c r="F515">
        <f t="shared" si="25"/>
        <v>1</v>
      </c>
      <c r="G515">
        <f t="shared" si="26"/>
        <v>0</v>
      </c>
    </row>
    <row r="516" spans="1:7" ht="15.75" customHeight="1" x14ac:dyDescent="0.25">
      <c r="A516" s="33">
        <v>54</v>
      </c>
      <c r="B516" s="34">
        <v>9.6199999999999992</v>
      </c>
      <c r="C516" s="36">
        <v>67.069999999999993</v>
      </c>
      <c r="D516" s="33" t="s">
        <v>9</v>
      </c>
      <c r="E516">
        <f t="shared" si="24"/>
        <v>0</v>
      </c>
      <c r="F516">
        <f t="shared" si="25"/>
        <v>1</v>
      </c>
      <c r="G516">
        <f t="shared" si="26"/>
        <v>0</v>
      </c>
    </row>
    <row r="517" spans="1:7" ht="15.75" customHeight="1" x14ac:dyDescent="0.25">
      <c r="A517" s="33">
        <v>25</v>
      </c>
      <c r="B517" s="34">
        <v>6.28</v>
      </c>
      <c r="C517" s="36">
        <v>61.5</v>
      </c>
      <c r="D517" s="33" t="s">
        <v>9</v>
      </c>
      <c r="E517">
        <f t="shared" si="24"/>
        <v>0</v>
      </c>
      <c r="F517">
        <f t="shared" si="25"/>
        <v>1</v>
      </c>
      <c r="G517">
        <f t="shared" si="26"/>
        <v>0</v>
      </c>
    </row>
    <row r="518" spans="1:7" ht="15.75" customHeight="1" x14ac:dyDescent="0.25">
      <c r="A518" s="33">
        <v>21</v>
      </c>
      <c r="B518" s="34">
        <v>9.58</v>
      </c>
      <c r="C518" s="36">
        <v>57.83</v>
      </c>
      <c r="D518" s="33" t="s">
        <v>9</v>
      </c>
      <c r="E518">
        <f t="shared" si="24"/>
        <v>0</v>
      </c>
      <c r="F518">
        <f t="shared" si="25"/>
        <v>1</v>
      </c>
      <c r="G518">
        <f t="shared" si="26"/>
        <v>0</v>
      </c>
    </row>
    <row r="519" spans="1:7" ht="15.75" customHeight="1" x14ac:dyDescent="0.25">
      <c r="A519" s="33">
        <v>22</v>
      </c>
      <c r="B519" s="34">
        <v>5.79</v>
      </c>
      <c r="C519" s="36">
        <v>67.23</v>
      </c>
      <c r="D519" s="33" t="s">
        <v>9</v>
      </c>
      <c r="E519">
        <f t="shared" si="24"/>
        <v>0</v>
      </c>
      <c r="F519">
        <f t="shared" si="25"/>
        <v>1</v>
      </c>
      <c r="G519">
        <f t="shared" si="26"/>
        <v>0</v>
      </c>
    </row>
    <row r="520" spans="1:7" ht="15.75" customHeight="1" x14ac:dyDescent="0.25">
      <c r="A520" s="33">
        <v>25</v>
      </c>
      <c r="B520" s="34">
        <v>6.25</v>
      </c>
      <c r="C520" s="36">
        <v>59.23</v>
      </c>
      <c r="D520" s="33" t="s">
        <v>9</v>
      </c>
      <c r="E520">
        <f t="shared" si="24"/>
        <v>0</v>
      </c>
      <c r="F520">
        <f t="shared" si="25"/>
        <v>1</v>
      </c>
      <c r="G520">
        <f t="shared" si="26"/>
        <v>0</v>
      </c>
    </row>
    <row r="521" spans="1:7" ht="15.75" customHeight="1" x14ac:dyDescent="0.25">
      <c r="A521" s="33">
        <v>9</v>
      </c>
      <c r="B521" s="34">
        <v>4.46</v>
      </c>
      <c r="C521" s="36">
        <v>30.81</v>
      </c>
      <c r="D521" s="33" t="s">
        <v>9</v>
      </c>
      <c r="E521">
        <f t="shared" si="24"/>
        <v>0</v>
      </c>
      <c r="F521">
        <f t="shared" si="25"/>
        <v>1</v>
      </c>
      <c r="G521">
        <f t="shared" si="26"/>
        <v>0</v>
      </c>
    </row>
    <row r="522" spans="1:7" ht="15.75" customHeight="1" x14ac:dyDescent="0.25">
      <c r="A522" s="33">
        <v>24</v>
      </c>
      <c r="B522" s="34">
        <v>6.56</v>
      </c>
      <c r="C522" s="36">
        <v>76.7</v>
      </c>
      <c r="D522" s="33" t="s">
        <v>9</v>
      </c>
      <c r="E522">
        <f t="shared" si="24"/>
        <v>0</v>
      </c>
      <c r="F522">
        <f t="shared" si="25"/>
        <v>1</v>
      </c>
      <c r="G522">
        <f t="shared" si="26"/>
        <v>0</v>
      </c>
    </row>
    <row r="523" spans="1:7" ht="15.75" customHeight="1" x14ac:dyDescent="0.25">
      <c r="A523" s="33">
        <v>40</v>
      </c>
      <c r="B523" s="34">
        <v>8.6999999999999993</v>
      </c>
      <c r="C523" s="36">
        <v>66.56</v>
      </c>
      <c r="D523" s="33" t="s">
        <v>9</v>
      </c>
      <c r="E523">
        <f t="shared" si="24"/>
        <v>0</v>
      </c>
      <c r="F523">
        <f t="shared" si="25"/>
        <v>1</v>
      </c>
      <c r="G523">
        <f t="shared" si="26"/>
        <v>0</v>
      </c>
    </row>
    <row r="524" spans="1:7" ht="15.75" customHeight="1" x14ac:dyDescent="0.25">
      <c r="A524" s="33">
        <v>42</v>
      </c>
      <c r="B524" s="34">
        <v>8.68</v>
      </c>
      <c r="C524" s="36">
        <v>42.13</v>
      </c>
      <c r="D524" s="33" t="s">
        <v>9</v>
      </c>
      <c r="E524">
        <f t="shared" si="24"/>
        <v>0</v>
      </c>
      <c r="F524">
        <f t="shared" si="25"/>
        <v>1</v>
      </c>
      <c r="G524">
        <f t="shared" si="26"/>
        <v>0</v>
      </c>
    </row>
    <row r="525" spans="1:7" ht="15.75" customHeight="1" x14ac:dyDescent="0.25">
      <c r="A525" s="33">
        <v>25</v>
      </c>
      <c r="B525" s="34">
        <v>4.78</v>
      </c>
      <c r="C525" s="36">
        <v>67.87</v>
      </c>
      <c r="D525" s="33" t="s">
        <v>9</v>
      </c>
      <c r="E525">
        <f t="shared" si="24"/>
        <v>0</v>
      </c>
      <c r="F525">
        <f t="shared" si="25"/>
        <v>1</v>
      </c>
      <c r="G525">
        <f t="shared" si="26"/>
        <v>0</v>
      </c>
    </row>
    <row r="526" spans="1:7" ht="15.75" customHeight="1" x14ac:dyDescent="0.25">
      <c r="A526" s="33">
        <v>28</v>
      </c>
      <c r="B526" s="34">
        <v>4.3899999999999997</v>
      </c>
      <c r="C526" s="36">
        <v>35.26</v>
      </c>
      <c r="D526" s="33" t="s">
        <v>9</v>
      </c>
      <c r="E526">
        <f t="shared" si="24"/>
        <v>0</v>
      </c>
      <c r="F526">
        <f t="shared" si="25"/>
        <v>1</v>
      </c>
      <c r="G526">
        <f t="shared" si="26"/>
        <v>0</v>
      </c>
    </row>
    <row r="527" spans="1:7" ht="15.75" customHeight="1" x14ac:dyDescent="0.25">
      <c r="A527" s="33">
        <v>7</v>
      </c>
      <c r="B527" s="34">
        <v>5.66</v>
      </c>
      <c r="C527" s="36">
        <v>56.39</v>
      </c>
      <c r="D527" s="33" t="s">
        <v>9</v>
      </c>
      <c r="E527">
        <f t="shared" si="24"/>
        <v>0</v>
      </c>
      <c r="F527">
        <f t="shared" si="25"/>
        <v>1</v>
      </c>
      <c r="G527">
        <f t="shared" si="26"/>
        <v>0</v>
      </c>
    </row>
    <row r="528" spans="1:7" ht="15.75" customHeight="1" x14ac:dyDescent="0.25">
      <c r="A528" s="33">
        <v>27</v>
      </c>
      <c r="B528" s="34">
        <v>6.47</v>
      </c>
      <c r="C528" s="36">
        <v>36.21</v>
      </c>
      <c r="D528" s="33" t="s">
        <v>9</v>
      </c>
      <c r="E528">
        <f t="shared" si="24"/>
        <v>0</v>
      </c>
      <c r="F528">
        <f t="shared" si="25"/>
        <v>1</v>
      </c>
      <c r="G528">
        <f t="shared" si="26"/>
        <v>0</v>
      </c>
    </row>
    <row r="529" spans="1:7" ht="15.75" customHeight="1" x14ac:dyDescent="0.25">
      <c r="A529" s="33">
        <v>32</v>
      </c>
      <c r="B529" s="34">
        <v>7.3</v>
      </c>
      <c r="C529" s="36">
        <v>101.92</v>
      </c>
      <c r="D529" s="33" t="s">
        <v>9</v>
      </c>
      <c r="E529">
        <f t="shared" si="24"/>
        <v>0</v>
      </c>
      <c r="F529">
        <f t="shared" si="25"/>
        <v>1</v>
      </c>
      <c r="G529">
        <f t="shared" si="26"/>
        <v>0</v>
      </c>
    </row>
    <row r="530" spans="1:7" ht="15.75" customHeight="1" x14ac:dyDescent="0.25">
      <c r="A530" s="33">
        <v>21</v>
      </c>
      <c r="B530" s="34">
        <v>6.16</v>
      </c>
      <c r="C530" s="36">
        <v>43.75</v>
      </c>
      <c r="D530" s="33" t="s">
        <v>9</v>
      </c>
      <c r="E530">
        <f t="shared" si="24"/>
        <v>0</v>
      </c>
      <c r="F530">
        <f t="shared" si="25"/>
        <v>1</v>
      </c>
      <c r="G530">
        <f t="shared" si="26"/>
        <v>0</v>
      </c>
    </row>
    <row r="531" spans="1:7" ht="15.75" customHeight="1" x14ac:dyDescent="0.25">
      <c r="A531" s="33">
        <v>44</v>
      </c>
      <c r="B531" s="34">
        <v>5.67</v>
      </c>
      <c r="C531" s="36">
        <v>77.45</v>
      </c>
      <c r="D531" s="33" t="s">
        <v>9</v>
      </c>
      <c r="E531">
        <f t="shared" si="24"/>
        <v>0</v>
      </c>
      <c r="F531">
        <f t="shared" si="25"/>
        <v>1</v>
      </c>
      <c r="G531">
        <f t="shared" si="26"/>
        <v>0</v>
      </c>
    </row>
    <row r="532" spans="1:7" ht="15.75" customHeight="1" x14ac:dyDescent="0.25">
      <c r="A532" s="33">
        <v>2</v>
      </c>
      <c r="B532" s="34">
        <v>5.96</v>
      </c>
      <c r="C532" s="36">
        <v>80.31</v>
      </c>
      <c r="D532" s="33" t="s">
        <v>9</v>
      </c>
      <c r="E532">
        <f t="shared" si="24"/>
        <v>0</v>
      </c>
      <c r="F532">
        <f t="shared" si="25"/>
        <v>1</v>
      </c>
      <c r="G532">
        <f t="shared" si="26"/>
        <v>0</v>
      </c>
    </row>
    <row r="533" spans="1:7" ht="15.75" customHeight="1" x14ac:dyDescent="0.25">
      <c r="A533" s="33">
        <v>20</v>
      </c>
      <c r="B533" s="34">
        <v>7.97</v>
      </c>
      <c r="C533" s="36">
        <v>104.75</v>
      </c>
      <c r="D533" s="33" t="s">
        <v>9</v>
      </c>
      <c r="E533">
        <f t="shared" si="24"/>
        <v>0</v>
      </c>
      <c r="F533">
        <f t="shared" si="25"/>
        <v>1</v>
      </c>
      <c r="G533">
        <f t="shared" si="26"/>
        <v>0</v>
      </c>
    </row>
    <row r="534" spans="1:7" ht="15.75" customHeight="1" x14ac:dyDescent="0.25">
      <c r="A534" s="33">
        <v>10</v>
      </c>
      <c r="B534" s="34">
        <v>8.02</v>
      </c>
      <c r="C534" s="36">
        <v>79.25</v>
      </c>
      <c r="D534" s="33" t="s">
        <v>9</v>
      </c>
      <c r="E534">
        <f t="shared" si="24"/>
        <v>0</v>
      </c>
      <c r="F534">
        <f t="shared" si="25"/>
        <v>1</v>
      </c>
      <c r="G534">
        <f t="shared" si="26"/>
        <v>0</v>
      </c>
    </row>
    <row r="535" spans="1:7" ht="15.75" customHeight="1" x14ac:dyDescent="0.25">
      <c r="A535" s="33">
        <v>14</v>
      </c>
      <c r="B535" s="34">
        <v>6.27</v>
      </c>
      <c r="C535" s="36">
        <v>78.2</v>
      </c>
      <c r="D535" s="33" t="s">
        <v>9</v>
      </c>
      <c r="E535">
        <f t="shared" si="24"/>
        <v>0</v>
      </c>
      <c r="F535">
        <f t="shared" si="25"/>
        <v>1</v>
      </c>
      <c r="G535">
        <f t="shared" si="26"/>
        <v>0</v>
      </c>
    </row>
    <row r="536" spans="1:7" ht="15.75" customHeight="1" x14ac:dyDescent="0.25">
      <c r="A536" s="33">
        <v>9</v>
      </c>
      <c r="B536" s="34">
        <v>8.1199999999999992</v>
      </c>
      <c r="C536" s="36">
        <v>89.07</v>
      </c>
      <c r="D536" s="33" t="s">
        <v>9</v>
      </c>
      <c r="E536">
        <f t="shared" si="24"/>
        <v>0</v>
      </c>
      <c r="F536">
        <f t="shared" si="25"/>
        <v>1</v>
      </c>
      <c r="G536">
        <f t="shared" si="26"/>
        <v>0</v>
      </c>
    </row>
    <row r="537" spans="1:7" ht="15.75" customHeight="1" x14ac:dyDescent="0.25">
      <c r="A537" s="33">
        <v>21</v>
      </c>
      <c r="B537" s="34">
        <v>6.65</v>
      </c>
      <c r="C537" s="36">
        <v>62.98</v>
      </c>
      <c r="D537" s="33" t="s">
        <v>9</v>
      </c>
      <c r="E537">
        <f t="shared" si="24"/>
        <v>0</v>
      </c>
      <c r="F537">
        <f t="shared" si="25"/>
        <v>1</v>
      </c>
      <c r="G537">
        <f t="shared" si="26"/>
        <v>0</v>
      </c>
    </row>
    <row r="538" spans="1:7" ht="15.75" customHeight="1" x14ac:dyDescent="0.25">
      <c r="A538" s="33">
        <v>55</v>
      </c>
      <c r="B538" s="34">
        <v>8.69</v>
      </c>
      <c r="C538" s="36">
        <v>72.78</v>
      </c>
      <c r="D538" s="33" t="s">
        <v>9</v>
      </c>
      <c r="E538">
        <f t="shared" si="24"/>
        <v>0</v>
      </c>
      <c r="F538">
        <f t="shared" si="25"/>
        <v>1</v>
      </c>
      <c r="G538">
        <f t="shared" si="26"/>
        <v>0</v>
      </c>
    </row>
    <row r="539" spans="1:7" ht="15.75" customHeight="1" x14ac:dyDescent="0.25">
      <c r="A539" s="33">
        <v>25</v>
      </c>
      <c r="B539" s="34">
        <v>8.0399999999999991</v>
      </c>
      <c r="C539" s="36">
        <v>110.48</v>
      </c>
      <c r="D539" s="33" t="s">
        <v>9</v>
      </c>
      <c r="E539">
        <f t="shared" si="24"/>
        <v>0</v>
      </c>
      <c r="F539">
        <f t="shared" si="25"/>
        <v>1</v>
      </c>
      <c r="G539">
        <f t="shared" si="26"/>
        <v>0</v>
      </c>
    </row>
    <row r="540" spans="1:7" ht="15.75" customHeight="1" x14ac:dyDescent="0.25">
      <c r="A540" s="33">
        <v>2</v>
      </c>
      <c r="B540" s="34">
        <v>5.0999999999999996</v>
      </c>
      <c r="C540" s="36">
        <v>51</v>
      </c>
      <c r="D540" s="33" t="s">
        <v>9</v>
      </c>
      <c r="E540">
        <f t="shared" si="24"/>
        <v>0</v>
      </c>
      <c r="F540">
        <f t="shared" si="25"/>
        <v>1</v>
      </c>
      <c r="G540">
        <f t="shared" si="26"/>
        <v>0</v>
      </c>
    </row>
    <row r="541" spans="1:7" ht="15.75" customHeight="1" x14ac:dyDescent="0.25">
      <c r="A541" s="33">
        <v>11</v>
      </c>
      <c r="B541" s="34">
        <v>8.19</v>
      </c>
      <c r="C541" s="36">
        <v>77.39</v>
      </c>
      <c r="D541" s="33" t="s">
        <v>9</v>
      </c>
      <c r="E541">
        <f t="shared" si="24"/>
        <v>0</v>
      </c>
      <c r="F541">
        <f t="shared" si="25"/>
        <v>1</v>
      </c>
      <c r="G541">
        <f t="shared" si="26"/>
        <v>0</v>
      </c>
    </row>
    <row r="542" spans="1:7" ht="15.75" customHeight="1" x14ac:dyDescent="0.25">
      <c r="A542" s="33">
        <v>8</v>
      </c>
      <c r="B542" s="34">
        <v>4.87</v>
      </c>
      <c r="C542" s="36">
        <v>53.52</v>
      </c>
      <c r="D542" s="33" t="s">
        <v>9</v>
      </c>
      <c r="E542">
        <f t="shared" si="24"/>
        <v>0</v>
      </c>
      <c r="F542">
        <f t="shared" si="25"/>
        <v>1</v>
      </c>
      <c r="G542">
        <f t="shared" si="26"/>
        <v>0</v>
      </c>
    </row>
    <row r="543" spans="1:7" ht="15.75" customHeight="1" x14ac:dyDescent="0.25">
      <c r="A543" s="33">
        <v>51</v>
      </c>
      <c r="B543" s="34">
        <v>6.46</v>
      </c>
      <c r="C543" s="36">
        <v>69.069999999999993</v>
      </c>
      <c r="D543" s="33" t="s">
        <v>9</v>
      </c>
      <c r="E543">
        <f t="shared" si="24"/>
        <v>0</v>
      </c>
      <c r="F543">
        <f t="shared" si="25"/>
        <v>1</v>
      </c>
      <c r="G543">
        <f t="shared" si="26"/>
        <v>0</v>
      </c>
    </row>
    <row r="544" spans="1:7" ht="15.75" customHeight="1" x14ac:dyDescent="0.25">
      <c r="A544" s="33">
        <v>5</v>
      </c>
      <c r="B544" s="34">
        <v>8.68</v>
      </c>
      <c r="C544" s="36">
        <v>87.01</v>
      </c>
      <c r="D544" s="33" t="s">
        <v>9</v>
      </c>
      <c r="E544">
        <f t="shared" si="24"/>
        <v>0</v>
      </c>
      <c r="F544">
        <f t="shared" si="25"/>
        <v>1</v>
      </c>
      <c r="G544">
        <f t="shared" si="26"/>
        <v>0</v>
      </c>
    </row>
    <row r="545" spans="1:7" ht="15.75" customHeight="1" x14ac:dyDescent="0.25">
      <c r="A545" s="33">
        <v>24</v>
      </c>
      <c r="B545" s="34">
        <v>7.72</v>
      </c>
      <c r="C545" s="36">
        <v>31.75</v>
      </c>
      <c r="D545" s="33" t="s">
        <v>9</v>
      </c>
      <c r="E545">
        <f t="shared" si="24"/>
        <v>0</v>
      </c>
      <c r="F545">
        <f t="shared" si="25"/>
        <v>1</v>
      </c>
      <c r="G545">
        <f t="shared" si="26"/>
        <v>0</v>
      </c>
    </row>
    <row r="546" spans="1:7" ht="15.75" customHeight="1" x14ac:dyDescent="0.25">
      <c r="A546" s="33">
        <v>6</v>
      </c>
      <c r="B546" s="34">
        <v>9.33</v>
      </c>
      <c r="C546" s="36">
        <v>70.38</v>
      </c>
      <c r="D546" s="33" t="s">
        <v>9</v>
      </c>
      <c r="E546">
        <f t="shared" si="24"/>
        <v>0</v>
      </c>
      <c r="F546">
        <f t="shared" si="25"/>
        <v>1</v>
      </c>
      <c r="G546">
        <f t="shared" si="26"/>
        <v>0</v>
      </c>
    </row>
    <row r="547" spans="1:7" ht="15.75" customHeight="1" x14ac:dyDescent="0.25">
      <c r="A547" s="33">
        <v>8</v>
      </c>
      <c r="B547" s="34">
        <v>9.25</v>
      </c>
      <c r="C547" s="36">
        <v>55.73</v>
      </c>
      <c r="D547" s="33" t="s">
        <v>9</v>
      </c>
      <c r="E547">
        <f t="shared" si="24"/>
        <v>0</v>
      </c>
      <c r="F547">
        <f t="shared" si="25"/>
        <v>1</v>
      </c>
      <c r="G547">
        <f t="shared" si="26"/>
        <v>0</v>
      </c>
    </row>
    <row r="548" spans="1:7" ht="15.75" customHeight="1" x14ac:dyDescent="0.25">
      <c r="A548" s="33">
        <v>17</v>
      </c>
      <c r="B548" s="34">
        <v>6.91</v>
      </c>
      <c r="C548" s="36">
        <v>52.93</v>
      </c>
      <c r="D548" s="33" t="s">
        <v>9</v>
      </c>
      <c r="E548">
        <f t="shared" si="24"/>
        <v>0</v>
      </c>
      <c r="F548">
        <f t="shared" si="25"/>
        <v>1</v>
      </c>
      <c r="G548">
        <f t="shared" si="26"/>
        <v>0</v>
      </c>
    </row>
    <row r="549" spans="1:7" ht="15.75" customHeight="1" x14ac:dyDescent="0.25">
      <c r="A549" s="33">
        <v>24</v>
      </c>
      <c r="B549" s="34">
        <v>8.6199999999999992</v>
      </c>
      <c r="C549" s="36">
        <v>59.47</v>
      </c>
      <c r="D549" s="33" t="s">
        <v>9</v>
      </c>
      <c r="E549">
        <f t="shared" si="24"/>
        <v>0</v>
      </c>
      <c r="F549">
        <f t="shared" si="25"/>
        <v>1</v>
      </c>
      <c r="G549">
        <f t="shared" si="26"/>
        <v>0</v>
      </c>
    </row>
    <row r="550" spans="1:7" ht="15.75" customHeight="1" x14ac:dyDescent="0.25">
      <c r="A550" s="33">
        <v>29</v>
      </c>
      <c r="B550" s="34">
        <v>5.88</v>
      </c>
      <c r="C550" s="36">
        <v>51.43</v>
      </c>
      <c r="D550" s="33" t="s">
        <v>9</v>
      </c>
      <c r="E550">
        <f t="shared" si="24"/>
        <v>0</v>
      </c>
      <c r="F550">
        <f t="shared" si="25"/>
        <v>1</v>
      </c>
      <c r="G550">
        <f t="shared" si="26"/>
        <v>0</v>
      </c>
    </row>
    <row r="551" spans="1:7" ht="15.75" customHeight="1" x14ac:dyDescent="0.25">
      <c r="A551" s="33">
        <v>31</v>
      </c>
      <c r="B551" s="34">
        <v>7.3</v>
      </c>
      <c r="C551" s="36">
        <v>63.35</v>
      </c>
      <c r="D551" s="33" t="s">
        <v>9</v>
      </c>
      <c r="E551">
        <f t="shared" si="24"/>
        <v>0</v>
      </c>
      <c r="F551">
        <f t="shared" si="25"/>
        <v>1</v>
      </c>
      <c r="G551">
        <f t="shared" si="26"/>
        <v>0</v>
      </c>
    </row>
    <row r="552" spans="1:7" ht="15.75" customHeight="1" x14ac:dyDescent="0.25">
      <c r="A552" s="33">
        <v>10</v>
      </c>
      <c r="B552" s="34">
        <v>5.93</v>
      </c>
      <c r="C552" s="36">
        <v>44.95</v>
      </c>
      <c r="D552" s="33" t="s">
        <v>9</v>
      </c>
      <c r="E552">
        <f t="shared" si="24"/>
        <v>0</v>
      </c>
      <c r="F552">
        <f t="shared" si="25"/>
        <v>1</v>
      </c>
      <c r="G552">
        <f t="shared" si="26"/>
        <v>0</v>
      </c>
    </row>
    <row r="553" spans="1:7" ht="15.75" customHeight="1" x14ac:dyDescent="0.25">
      <c r="A553" s="33">
        <v>41</v>
      </c>
      <c r="B553" s="34">
        <v>8.19</v>
      </c>
      <c r="C553" s="36">
        <v>70.88</v>
      </c>
      <c r="D553" s="33" t="s">
        <v>9</v>
      </c>
      <c r="E553">
        <f t="shared" si="24"/>
        <v>0</v>
      </c>
      <c r="F553">
        <f t="shared" si="25"/>
        <v>1</v>
      </c>
      <c r="G553">
        <f t="shared" si="26"/>
        <v>0</v>
      </c>
    </row>
    <row r="554" spans="1:7" ht="15.75" customHeight="1" x14ac:dyDescent="0.25">
      <c r="A554" s="33">
        <v>19</v>
      </c>
      <c r="B554" s="34">
        <v>8.7799999999999994</v>
      </c>
      <c r="C554" s="36">
        <v>61.87</v>
      </c>
      <c r="D554" s="33" t="s">
        <v>9</v>
      </c>
      <c r="E554">
        <f t="shared" si="24"/>
        <v>0</v>
      </c>
      <c r="F554">
        <f t="shared" si="25"/>
        <v>1</v>
      </c>
      <c r="G554">
        <f t="shared" si="26"/>
        <v>0</v>
      </c>
    </row>
    <row r="555" spans="1:7" ht="15.75" customHeight="1" x14ac:dyDescent="0.25">
      <c r="A555" s="33">
        <v>5</v>
      </c>
      <c r="B555" s="34">
        <v>7.29</v>
      </c>
      <c r="C555" s="36">
        <v>36.71</v>
      </c>
      <c r="D555" s="33" t="s">
        <v>9</v>
      </c>
      <c r="E555">
        <f t="shared" si="24"/>
        <v>0</v>
      </c>
      <c r="F555">
        <f t="shared" si="25"/>
        <v>1</v>
      </c>
      <c r="G555">
        <f t="shared" si="26"/>
        <v>0</v>
      </c>
    </row>
    <row r="556" spans="1:7" ht="15.75" customHeight="1" x14ac:dyDescent="0.25">
      <c r="A556" s="33">
        <v>49</v>
      </c>
      <c r="B556" s="34">
        <v>7.37</v>
      </c>
      <c r="C556" s="36">
        <v>47.75</v>
      </c>
      <c r="D556" s="33" t="s">
        <v>9</v>
      </c>
      <c r="E556">
        <f t="shared" si="24"/>
        <v>0</v>
      </c>
      <c r="F556">
        <f t="shared" si="25"/>
        <v>1</v>
      </c>
      <c r="G556">
        <f t="shared" si="26"/>
        <v>0</v>
      </c>
    </row>
    <row r="557" spans="1:7" ht="15.75" customHeight="1" x14ac:dyDescent="0.25">
      <c r="A557" s="33">
        <v>31</v>
      </c>
      <c r="B557" s="34">
        <v>9</v>
      </c>
      <c r="C557" s="36">
        <v>60.12</v>
      </c>
      <c r="D557" s="33" t="s">
        <v>9</v>
      </c>
      <c r="E557">
        <f t="shared" si="24"/>
        <v>0</v>
      </c>
      <c r="F557">
        <f t="shared" si="25"/>
        <v>1</v>
      </c>
      <c r="G557">
        <f t="shared" si="26"/>
        <v>0</v>
      </c>
    </row>
    <row r="558" spans="1:7" ht="15.75" customHeight="1" x14ac:dyDescent="0.25">
      <c r="A558" s="33">
        <v>21</v>
      </c>
      <c r="B558" s="34">
        <v>9.5299999999999994</v>
      </c>
      <c r="C558" s="36">
        <v>57.6</v>
      </c>
      <c r="D558" s="33" t="s">
        <v>9</v>
      </c>
      <c r="E558">
        <f t="shared" si="24"/>
        <v>0</v>
      </c>
      <c r="F558">
        <f t="shared" si="25"/>
        <v>1</v>
      </c>
      <c r="G558">
        <f t="shared" si="26"/>
        <v>0</v>
      </c>
    </row>
    <row r="559" spans="1:7" ht="15.75" customHeight="1" x14ac:dyDescent="0.25">
      <c r="A559" s="33">
        <v>10</v>
      </c>
      <c r="B559" s="34">
        <v>9.85</v>
      </c>
      <c r="C559" s="36">
        <v>42.98</v>
      </c>
      <c r="D559" s="33" t="s">
        <v>9</v>
      </c>
      <c r="E559">
        <f t="shared" si="24"/>
        <v>0</v>
      </c>
      <c r="F559">
        <f t="shared" si="25"/>
        <v>1</v>
      </c>
      <c r="G559">
        <f t="shared" si="26"/>
        <v>0</v>
      </c>
    </row>
    <row r="560" spans="1:7" ht="15.75" customHeight="1" x14ac:dyDescent="0.25">
      <c r="A560" s="33">
        <v>16</v>
      </c>
      <c r="B560" s="34">
        <v>8.74</v>
      </c>
      <c r="C560" s="36">
        <v>83.38</v>
      </c>
      <c r="D560" s="33" t="s">
        <v>9</v>
      </c>
      <c r="E560">
        <f t="shared" si="24"/>
        <v>0</v>
      </c>
      <c r="F560">
        <f t="shared" si="25"/>
        <v>1</v>
      </c>
      <c r="G560">
        <f t="shared" si="26"/>
        <v>0</v>
      </c>
    </row>
    <row r="561" spans="1:7" ht="15.75" customHeight="1" x14ac:dyDescent="0.25">
      <c r="A561" s="33">
        <v>5</v>
      </c>
      <c r="B561" s="34">
        <v>5.73</v>
      </c>
      <c r="C561" s="36">
        <v>71.98</v>
      </c>
      <c r="D561" s="33" t="s">
        <v>9</v>
      </c>
      <c r="E561">
        <f t="shared" si="24"/>
        <v>0</v>
      </c>
      <c r="F561">
        <f t="shared" si="25"/>
        <v>1</v>
      </c>
      <c r="G561">
        <f t="shared" si="26"/>
        <v>0</v>
      </c>
    </row>
    <row r="562" spans="1:7" ht="15.75" customHeight="1" x14ac:dyDescent="0.25">
      <c r="A562" s="33">
        <v>29</v>
      </c>
      <c r="B562" s="34">
        <v>2.67</v>
      </c>
      <c r="C562" s="36">
        <v>25.28</v>
      </c>
      <c r="D562" s="33" t="s">
        <v>9</v>
      </c>
      <c r="E562">
        <f t="shared" si="24"/>
        <v>0</v>
      </c>
      <c r="F562">
        <f t="shared" si="25"/>
        <v>1</v>
      </c>
      <c r="G562">
        <f t="shared" si="26"/>
        <v>0</v>
      </c>
    </row>
    <row r="563" spans="1:7" ht="15.75" customHeight="1" x14ac:dyDescent="0.25">
      <c r="A563" s="33">
        <v>12</v>
      </c>
      <c r="B563" s="34">
        <v>2.4</v>
      </c>
      <c r="C563" s="36">
        <v>31.1</v>
      </c>
      <c r="D563" s="33" t="s">
        <v>9</v>
      </c>
      <c r="E563">
        <f t="shared" si="24"/>
        <v>0</v>
      </c>
      <c r="F563">
        <f t="shared" si="25"/>
        <v>1</v>
      </c>
      <c r="G563">
        <f t="shared" si="26"/>
        <v>0</v>
      </c>
    </row>
    <row r="564" spans="1:7" ht="15.75" customHeight="1" x14ac:dyDescent="0.25">
      <c r="A564" s="33">
        <v>34</v>
      </c>
      <c r="B564" s="34">
        <v>2</v>
      </c>
      <c r="C564" s="36">
        <v>19.010000000000002</v>
      </c>
      <c r="D564" s="33" t="s">
        <v>9</v>
      </c>
      <c r="E564">
        <f t="shared" si="24"/>
        <v>0</v>
      </c>
      <c r="F564">
        <f t="shared" si="25"/>
        <v>1</v>
      </c>
      <c r="G564">
        <f t="shared" si="26"/>
        <v>0</v>
      </c>
    </row>
    <row r="565" spans="1:7" ht="15.75" customHeight="1" x14ac:dyDescent="0.25">
      <c r="A565" s="33">
        <v>49</v>
      </c>
      <c r="B565" s="34">
        <v>4</v>
      </c>
      <c r="C565" s="36">
        <v>21.99</v>
      </c>
      <c r="D565" s="33" t="s">
        <v>9</v>
      </c>
      <c r="E565">
        <f t="shared" si="24"/>
        <v>0</v>
      </c>
      <c r="F565">
        <f t="shared" si="25"/>
        <v>1</v>
      </c>
      <c r="G565">
        <f t="shared" si="26"/>
        <v>0</v>
      </c>
    </row>
    <row r="566" spans="1:7" ht="15.75" customHeight="1" x14ac:dyDescent="0.25">
      <c r="A566" s="33">
        <v>43</v>
      </c>
      <c r="B566" s="34">
        <v>4</v>
      </c>
      <c r="C566" s="36">
        <v>18.28</v>
      </c>
      <c r="D566" s="33" t="s">
        <v>9</v>
      </c>
      <c r="E566">
        <f t="shared" si="24"/>
        <v>0</v>
      </c>
      <c r="F566">
        <f t="shared" si="25"/>
        <v>1</v>
      </c>
      <c r="G566">
        <f t="shared" si="26"/>
        <v>0</v>
      </c>
    </row>
    <row r="567" spans="1:7" ht="15.75" customHeight="1" x14ac:dyDescent="0.25">
      <c r="A567" s="33">
        <v>6</v>
      </c>
      <c r="B567" s="34">
        <v>2.5</v>
      </c>
      <c r="C567" s="36">
        <v>38.9</v>
      </c>
      <c r="D567" s="33" t="s">
        <v>9</v>
      </c>
      <c r="E567">
        <f t="shared" si="24"/>
        <v>0</v>
      </c>
      <c r="F567">
        <f t="shared" si="25"/>
        <v>1</v>
      </c>
      <c r="G567">
        <f t="shared" si="26"/>
        <v>0</v>
      </c>
    </row>
    <row r="568" spans="1:7" ht="15.75" customHeight="1" x14ac:dyDescent="0.25">
      <c r="A568" s="33">
        <v>9</v>
      </c>
      <c r="B568" s="34">
        <v>3.5</v>
      </c>
      <c r="C568" s="36">
        <v>51.98</v>
      </c>
      <c r="D568" s="33" t="s">
        <v>9</v>
      </c>
      <c r="E568">
        <f t="shared" si="24"/>
        <v>0</v>
      </c>
      <c r="F568">
        <f t="shared" si="25"/>
        <v>1</v>
      </c>
      <c r="G568">
        <f t="shared" si="26"/>
        <v>0</v>
      </c>
    </row>
    <row r="569" spans="1:7" ht="15.75" customHeight="1" x14ac:dyDescent="0.25">
      <c r="A569" s="33">
        <v>37</v>
      </c>
      <c r="B569" s="34">
        <v>2.2999999999999998</v>
      </c>
      <c r="C569" s="36">
        <v>39.54</v>
      </c>
      <c r="D569" s="33" t="s">
        <v>9</v>
      </c>
      <c r="E569">
        <f t="shared" si="24"/>
        <v>0</v>
      </c>
      <c r="F569">
        <f t="shared" si="25"/>
        <v>1</v>
      </c>
      <c r="G569">
        <f t="shared" si="26"/>
        <v>0</v>
      </c>
    </row>
    <row r="570" spans="1:7" ht="15.75" customHeight="1" x14ac:dyDescent="0.25">
      <c r="A570" s="33">
        <v>20</v>
      </c>
      <c r="B570" s="34">
        <v>3</v>
      </c>
      <c r="C570" s="36">
        <v>30.68</v>
      </c>
      <c r="D570" s="33" t="s">
        <v>9</v>
      </c>
      <c r="E570">
        <f t="shared" si="24"/>
        <v>0</v>
      </c>
      <c r="F570">
        <f t="shared" si="25"/>
        <v>1</v>
      </c>
      <c r="G570">
        <f t="shared" si="26"/>
        <v>0</v>
      </c>
    </row>
    <row r="571" spans="1:7" ht="15.75" customHeight="1" x14ac:dyDescent="0.25">
      <c r="A571" s="33">
        <v>26</v>
      </c>
      <c r="B571" s="34">
        <v>2.6</v>
      </c>
      <c r="C571" s="36">
        <v>43.26</v>
      </c>
      <c r="D571" s="33" t="s">
        <v>9</v>
      </c>
      <c r="E571">
        <f t="shared" si="24"/>
        <v>0</v>
      </c>
      <c r="F571">
        <f t="shared" si="25"/>
        <v>1</v>
      </c>
      <c r="G571">
        <f t="shared" si="26"/>
        <v>0</v>
      </c>
    </row>
    <row r="572" spans="1:7" ht="15.75" customHeight="1" x14ac:dyDescent="0.25">
      <c r="A572" s="33">
        <v>13</v>
      </c>
      <c r="B572" s="34">
        <v>2.2999999999999998</v>
      </c>
      <c r="C572" s="36">
        <v>14</v>
      </c>
      <c r="D572" s="33" t="s">
        <v>9</v>
      </c>
      <c r="E572">
        <f t="shared" si="24"/>
        <v>0</v>
      </c>
      <c r="F572">
        <f t="shared" si="25"/>
        <v>1</v>
      </c>
      <c r="G572">
        <f t="shared" si="26"/>
        <v>0</v>
      </c>
    </row>
    <row r="573" spans="1:7" ht="15.75" customHeight="1" x14ac:dyDescent="0.25">
      <c r="A573" s="33">
        <v>30</v>
      </c>
      <c r="B573" s="34">
        <v>2</v>
      </c>
      <c r="C573" s="36">
        <v>32.700000000000003</v>
      </c>
      <c r="D573" s="33" t="s">
        <v>9</v>
      </c>
      <c r="E573">
        <f t="shared" si="24"/>
        <v>0</v>
      </c>
      <c r="F573">
        <f t="shared" si="25"/>
        <v>1</v>
      </c>
      <c r="G573">
        <f t="shared" si="26"/>
        <v>0</v>
      </c>
    </row>
    <row r="574" spans="1:7" ht="15.75" customHeight="1" x14ac:dyDescent="0.25">
      <c r="A574" s="33">
        <v>2</v>
      </c>
      <c r="B574" s="34">
        <v>3.3</v>
      </c>
      <c r="C574" s="36">
        <v>33.03</v>
      </c>
      <c r="D574" s="33" t="s">
        <v>9</v>
      </c>
      <c r="E574">
        <f t="shared" si="24"/>
        <v>0</v>
      </c>
      <c r="F574">
        <f t="shared" si="25"/>
        <v>1</v>
      </c>
      <c r="G574">
        <f t="shared" si="26"/>
        <v>0</v>
      </c>
    </row>
    <row r="575" spans="1:7" ht="15.75" customHeight="1" x14ac:dyDescent="0.25">
      <c r="A575" s="33">
        <v>1</v>
      </c>
      <c r="B575" s="34">
        <v>1.8</v>
      </c>
      <c r="C575" s="36">
        <v>31.37</v>
      </c>
      <c r="D575" s="33" t="s">
        <v>9</v>
      </c>
      <c r="E575">
        <f t="shared" si="24"/>
        <v>0</v>
      </c>
      <c r="F575">
        <f t="shared" si="25"/>
        <v>1</v>
      </c>
      <c r="G575">
        <f t="shared" si="26"/>
        <v>0</v>
      </c>
    </row>
    <row r="576" spans="1:7" ht="15.75" customHeight="1" x14ac:dyDescent="0.25">
      <c r="A576" s="33">
        <v>14</v>
      </c>
      <c r="B576" s="34">
        <v>1.5</v>
      </c>
      <c r="C576" s="36">
        <v>34.97</v>
      </c>
      <c r="D576" s="33" t="s">
        <v>9</v>
      </c>
      <c r="E576">
        <f t="shared" si="24"/>
        <v>0</v>
      </c>
      <c r="F576">
        <f t="shared" si="25"/>
        <v>1</v>
      </c>
      <c r="G576">
        <f t="shared" si="26"/>
        <v>0</v>
      </c>
    </row>
    <row r="577" spans="1:7" ht="15.75" customHeight="1" x14ac:dyDescent="0.25">
      <c r="A577" s="33">
        <v>16</v>
      </c>
      <c r="B577" s="34">
        <v>2.8</v>
      </c>
      <c r="C577" s="36">
        <v>63</v>
      </c>
      <c r="D577" s="33" t="s">
        <v>9</v>
      </c>
      <c r="E577">
        <f t="shared" si="24"/>
        <v>0</v>
      </c>
      <c r="F577">
        <f t="shared" si="25"/>
        <v>1</v>
      </c>
      <c r="G577">
        <f t="shared" si="26"/>
        <v>0</v>
      </c>
    </row>
    <row r="578" spans="1:7" ht="15.75" customHeight="1" x14ac:dyDescent="0.25">
      <c r="A578" s="33">
        <v>9</v>
      </c>
      <c r="B578" s="34">
        <v>2.2999999999999998</v>
      </c>
      <c r="C578" s="36">
        <v>51.99</v>
      </c>
      <c r="D578" s="33" t="s">
        <v>9</v>
      </c>
      <c r="E578">
        <f t="shared" ref="E578:E641" si="27">IF(D578="bien de conso.",1,0)</f>
        <v>0</v>
      </c>
      <c r="F578">
        <f t="shared" ref="F578:F641" si="28">IF($D578="nourriture",1,0)</f>
        <v>1</v>
      </c>
      <c r="G578">
        <f t="shared" ref="G578:G641" si="29">IF($D578="high tech",1,0)</f>
        <v>0</v>
      </c>
    </row>
    <row r="579" spans="1:7" ht="15.75" customHeight="1" x14ac:dyDescent="0.25">
      <c r="A579" s="33">
        <v>6</v>
      </c>
      <c r="B579" s="34">
        <v>1.8</v>
      </c>
      <c r="C579" s="36">
        <v>67.260000000000005</v>
      </c>
      <c r="D579" s="33" t="s">
        <v>9</v>
      </c>
      <c r="E579">
        <f t="shared" si="27"/>
        <v>0</v>
      </c>
      <c r="F579">
        <f t="shared" si="28"/>
        <v>1</v>
      </c>
      <c r="G579">
        <f t="shared" si="29"/>
        <v>0</v>
      </c>
    </row>
    <row r="580" spans="1:7" ht="15.75" customHeight="1" x14ac:dyDescent="0.25">
      <c r="A580" s="33">
        <v>38</v>
      </c>
      <c r="B580" s="34">
        <v>3.6</v>
      </c>
      <c r="C580" s="36">
        <v>48.57</v>
      </c>
      <c r="D580" s="33" t="s">
        <v>9</v>
      </c>
      <c r="E580">
        <f t="shared" si="27"/>
        <v>0</v>
      </c>
      <c r="F580">
        <f t="shared" si="28"/>
        <v>1</v>
      </c>
      <c r="G580">
        <f t="shared" si="29"/>
        <v>0</v>
      </c>
    </row>
    <row r="581" spans="1:7" ht="15.75" customHeight="1" x14ac:dyDescent="0.25">
      <c r="A581" s="33">
        <v>25</v>
      </c>
      <c r="B581" s="34">
        <v>2.4</v>
      </c>
      <c r="C581" s="36">
        <v>48.14</v>
      </c>
      <c r="D581" s="33" t="s">
        <v>9</v>
      </c>
      <c r="E581">
        <f t="shared" si="27"/>
        <v>0</v>
      </c>
      <c r="F581">
        <f t="shared" si="28"/>
        <v>1</v>
      </c>
      <c r="G581">
        <f t="shared" si="29"/>
        <v>0</v>
      </c>
    </row>
    <row r="582" spans="1:7" ht="15.75" customHeight="1" x14ac:dyDescent="0.25">
      <c r="A582" s="33">
        <v>12</v>
      </c>
      <c r="B582" s="34">
        <v>3.7</v>
      </c>
      <c r="C582" s="36">
        <v>34.53</v>
      </c>
      <c r="D582" s="33" t="s">
        <v>9</v>
      </c>
      <c r="E582">
        <f t="shared" si="27"/>
        <v>0</v>
      </c>
      <c r="F582">
        <f t="shared" si="28"/>
        <v>1</v>
      </c>
      <c r="G582">
        <f t="shared" si="29"/>
        <v>0</v>
      </c>
    </row>
    <row r="583" spans="1:7" ht="15.75" customHeight="1" x14ac:dyDescent="0.25">
      <c r="A583" s="33">
        <v>7</v>
      </c>
      <c r="B583" s="34">
        <v>3.9</v>
      </c>
      <c r="C583" s="36">
        <v>11.95</v>
      </c>
      <c r="D583" s="33" t="s">
        <v>9</v>
      </c>
      <c r="E583">
        <f t="shared" si="27"/>
        <v>0</v>
      </c>
      <c r="F583">
        <f t="shared" si="28"/>
        <v>1</v>
      </c>
      <c r="G583">
        <f t="shared" si="29"/>
        <v>0</v>
      </c>
    </row>
    <row r="584" spans="1:7" ht="15.75" customHeight="1" x14ac:dyDescent="0.25">
      <c r="A584" s="33">
        <v>57</v>
      </c>
      <c r="B584" s="34">
        <v>2.7</v>
      </c>
      <c r="C584" s="36">
        <v>16.579999999999998</v>
      </c>
      <c r="D584" s="33" t="s">
        <v>9</v>
      </c>
      <c r="E584">
        <f t="shared" si="27"/>
        <v>0</v>
      </c>
      <c r="F584">
        <f t="shared" si="28"/>
        <v>1</v>
      </c>
      <c r="G584">
        <f t="shared" si="29"/>
        <v>0</v>
      </c>
    </row>
    <row r="585" spans="1:7" ht="15.75" customHeight="1" x14ac:dyDescent="0.25">
      <c r="A585" s="33">
        <v>19</v>
      </c>
      <c r="B585" s="34">
        <v>3.8</v>
      </c>
      <c r="C585" s="36">
        <v>50.34</v>
      </c>
      <c r="D585" s="33" t="s">
        <v>9</v>
      </c>
      <c r="E585">
        <f t="shared" si="27"/>
        <v>0</v>
      </c>
      <c r="F585">
        <f t="shared" si="28"/>
        <v>1</v>
      </c>
      <c r="G585">
        <f t="shared" si="29"/>
        <v>0</v>
      </c>
    </row>
    <row r="586" spans="1:7" ht="15.75" customHeight="1" x14ac:dyDescent="0.25">
      <c r="A586" s="33">
        <v>25</v>
      </c>
      <c r="B586" s="34">
        <v>3.8</v>
      </c>
      <c r="C586" s="36">
        <v>44.87</v>
      </c>
      <c r="D586" s="33" t="s">
        <v>9</v>
      </c>
      <c r="E586">
        <f t="shared" si="27"/>
        <v>0</v>
      </c>
      <c r="F586">
        <f t="shared" si="28"/>
        <v>1</v>
      </c>
      <c r="G586">
        <f t="shared" si="29"/>
        <v>0</v>
      </c>
    </row>
    <row r="587" spans="1:7" ht="15.75" customHeight="1" x14ac:dyDescent="0.25">
      <c r="A587" s="33">
        <v>26</v>
      </c>
      <c r="B587" s="34">
        <v>3.2</v>
      </c>
      <c r="C587" s="36">
        <v>6.97</v>
      </c>
      <c r="D587" s="33" t="s">
        <v>9</v>
      </c>
      <c r="E587">
        <f t="shared" si="27"/>
        <v>0</v>
      </c>
      <c r="F587">
        <f t="shared" si="28"/>
        <v>1</v>
      </c>
      <c r="G587">
        <f t="shared" si="29"/>
        <v>0</v>
      </c>
    </row>
    <row r="588" spans="1:7" ht="15.75" customHeight="1" x14ac:dyDescent="0.25">
      <c r="A588" s="33">
        <v>47</v>
      </c>
      <c r="B588" s="34">
        <v>3.6</v>
      </c>
      <c r="C588" s="36">
        <v>30.33</v>
      </c>
      <c r="D588" s="33" t="s">
        <v>9</v>
      </c>
      <c r="E588">
        <f t="shared" si="27"/>
        <v>0</v>
      </c>
      <c r="F588">
        <f t="shared" si="28"/>
        <v>1</v>
      </c>
      <c r="G588">
        <f t="shared" si="29"/>
        <v>0</v>
      </c>
    </row>
    <row r="589" spans="1:7" ht="15.75" customHeight="1" x14ac:dyDescent="0.25">
      <c r="A589" s="33">
        <v>18</v>
      </c>
      <c r="B589" s="34">
        <v>2.6</v>
      </c>
      <c r="C589" s="36">
        <v>42.51</v>
      </c>
      <c r="D589" s="33" t="s">
        <v>9</v>
      </c>
      <c r="E589">
        <f t="shared" si="27"/>
        <v>0</v>
      </c>
      <c r="F589">
        <f t="shared" si="28"/>
        <v>1</v>
      </c>
      <c r="G589">
        <f t="shared" si="29"/>
        <v>0</v>
      </c>
    </row>
    <row r="590" spans="1:7" ht="15.75" customHeight="1" x14ac:dyDescent="0.25">
      <c r="A590" s="33">
        <v>17</v>
      </c>
      <c r="B590" s="34">
        <v>2</v>
      </c>
      <c r="C590" s="36">
        <v>29.17</v>
      </c>
      <c r="D590" s="33" t="s">
        <v>9</v>
      </c>
      <c r="E590">
        <f t="shared" si="27"/>
        <v>0</v>
      </c>
      <c r="F590">
        <f t="shared" si="28"/>
        <v>1</v>
      </c>
      <c r="G590">
        <f t="shared" si="29"/>
        <v>0</v>
      </c>
    </row>
    <row r="591" spans="1:7" ht="15.75" customHeight="1" x14ac:dyDescent="0.25">
      <c r="A591" s="33">
        <v>19</v>
      </c>
      <c r="B591" s="34">
        <v>2.9</v>
      </c>
      <c r="C591" s="36">
        <v>31.65</v>
      </c>
      <c r="D591" s="33" t="s">
        <v>9</v>
      </c>
      <c r="E591">
        <f t="shared" si="27"/>
        <v>0</v>
      </c>
      <c r="F591">
        <f t="shared" si="28"/>
        <v>1</v>
      </c>
      <c r="G591">
        <f t="shared" si="29"/>
        <v>0</v>
      </c>
    </row>
    <row r="592" spans="1:7" ht="15.75" customHeight="1" x14ac:dyDescent="0.25">
      <c r="A592" s="33">
        <v>39</v>
      </c>
      <c r="B592" s="34">
        <v>3</v>
      </c>
      <c r="C592" s="36">
        <v>58.89</v>
      </c>
      <c r="D592" s="33" t="s">
        <v>9</v>
      </c>
      <c r="E592">
        <f t="shared" si="27"/>
        <v>0</v>
      </c>
      <c r="F592">
        <f t="shared" si="28"/>
        <v>1</v>
      </c>
      <c r="G592">
        <f t="shared" si="29"/>
        <v>0</v>
      </c>
    </row>
    <row r="593" spans="1:7" ht="15.75" customHeight="1" x14ac:dyDescent="0.25">
      <c r="A593" s="33">
        <v>11</v>
      </c>
      <c r="B593" s="34">
        <v>3.5</v>
      </c>
      <c r="C593" s="36">
        <v>22.47</v>
      </c>
      <c r="D593" s="33" t="s">
        <v>9</v>
      </c>
      <c r="E593">
        <f t="shared" si="27"/>
        <v>0</v>
      </c>
      <c r="F593">
        <f t="shared" si="28"/>
        <v>1</v>
      </c>
      <c r="G593">
        <f t="shared" si="29"/>
        <v>0</v>
      </c>
    </row>
    <row r="594" spans="1:7" ht="15.75" customHeight="1" x14ac:dyDescent="0.25">
      <c r="A594" s="33">
        <v>15</v>
      </c>
      <c r="B594" s="34">
        <v>2.6</v>
      </c>
      <c r="C594" s="36">
        <v>9.8000000000000007</v>
      </c>
      <c r="D594" s="33" t="s">
        <v>9</v>
      </c>
      <c r="E594">
        <f t="shared" si="27"/>
        <v>0</v>
      </c>
      <c r="F594">
        <f t="shared" si="28"/>
        <v>1</v>
      </c>
      <c r="G594">
        <f t="shared" si="29"/>
        <v>0</v>
      </c>
    </row>
    <row r="595" spans="1:7" ht="15.75" customHeight="1" x14ac:dyDescent="0.25">
      <c r="A595" s="33">
        <v>21</v>
      </c>
      <c r="B595" s="34">
        <v>1.5</v>
      </c>
      <c r="C595" s="36">
        <v>23.33</v>
      </c>
      <c r="D595" s="33" t="s">
        <v>9</v>
      </c>
      <c r="E595">
        <f t="shared" si="27"/>
        <v>0</v>
      </c>
      <c r="F595">
        <f t="shared" si="28"/>
        <v>1</v>
      </c>
      <c r="G595">
        <f t="shared" si="29"/>
        <v>0</v>
      </c>
    </row>
    <row r="596" spans="1:7" ht="15.75" customHeight="1" x14ac:dyDescent="0.25">
      <c r="A596" s="33">
        <v>19</v>
      </c>
      <c r="B596" s="34">
        <v>3.8</v>
      </c>
      <c r="C596" s="36">
        <v>23.5</v>
      </c>
      <c r="D596" s="33" t="s">
        <v>9</v>
      </c>
      <c r="E596">
        <f t="shared" si="27"/>
        <v>0</v>
      </c>
      <c r="F596">
        <f t="shared" si="28"/>
        <v>1</v>
      </c>
      <c r="G596">
        <f t="shared" si="29"/>
        <v>0</v>
      </c>
    </row>
    <row r="597" spans="1:7" ht="15.75" customHeight="1" x14ac:dyDescent="0.25">
      <c r="A597" s="33">
        <v>25</v>
      </c>
      <c r="B597" s="34">
        <v>4</v>
      </c>
      <c r="C597" s="36">
        <v>18.52</v>
      </c>
      <c r="D597" s="33" t="s">
        <v>9</v>
      </c>
      <c r="E597">
        <f t="shared" si="27"/>
        <v>0</v>
      </c>
      <c r="F597">
        <f t="shared" si="28"/>
        <v>1</v>
      </c>
      <c r="G597">
        <f t="shared" si="29"/>
        <v>0</v>
      </c>
    </row>
    <row r="598" spans="1:7" ht="15.75" customHeight="1" x14ac:dyDescent="0.25">
      <c r="A598" s="33">
        <v>42</v>
      </c>
      <c r="B598" s="34">
        <v>3.3</v>
      </c>
      <c r="C598" s="36">
        <v>41.24</v>
      </c>
      <c r="D598" s="33" t="s">
        <v>9</v>
      </c>
      <c r="E598">
        <f t="shared" si="27"/>
        <v>0</v>
      </c>
      <c r="F598">
        <f t="shared" si="28"/>
        <v>1</v>
      </c>
      <c r="G598">
        <f t="shared" si="29"/>
        <v>0</v>
      </c>
    </row>
    <row r="599" spans="1:7" ht="15.75" customHeight="1" x14ac:dyDescent="0.25">
      <c r="A599" s="33">
        <v>37</v>
      </c>
      <c r="B599" s="34">
        <v>3.3</v>
      </c>
      <c r="C599" s="36">
        <v>43.28</v>
      </c>
      <c r="D599" s="33" t="s">
        <v>9</v>
      </c>
      <c r="E599">
        <f t="shared" si="27"/>
        <v>0</v>
      </c>
      <c r="F599">
        <f t="shared" si="28"/>
        <v>1</v>
      </c>
      <c r="G599">
        <f t="shared" si="29"/>
        <v>0</v>
      </c>
    </row>
    <row r="600" spans="1:7" ht="15.75" customHeight="1" x14ac:dyDescent="0.25">
      <c r="A600" s="33">
        <v>36</v>
      </c>
      <c r="B600" s="34">
        <v>1.9</v>
      </c>
      <c r="C600" s="36">
        <v>28.32</v>
      </c>
      <c r="D600" s="33" t="s">
        <v>9</v>
      </c>
      <c r="E600">
        <f t="shared" si="27"/>
        <v>0</v>
      </c>
      <c r="F600">
        <f t="shared" si="28"/>
        <v>1</v>
      </c>
      <c r="G600">
        <f t="shared" si="29"/>
        <v>0</v>
      </c>
    </row>
    <row r="601" spans="1:7" ht="15.75" customHeight="1" x14ac:dyDescent="0.25">
      <c r="A601" s="33">
        <v>29</v>
      </c>
      <c r="B601" s="34">
        <v>2.9</v>
      </c>
      <c r="C601" s="36">
        <v>26.05</v>
      </c>
      <c r="D601" s="33" t="s">
        <v>9</v>
      </c>
      <c r="E601">
        <f t="shared" si="27"/>
        <v>0</v>
      </c>
      <c r="F601">
        <f t="shared" si="28"/>
        <v>1</v>
      </c>
      <c r="G601">
        <f t="shared" si="29"/>
        <v>0</v>
      </c>
    </row>
    <row r="602" spans="1:7" ht="15.75" customHeight="1" x14ac:dyDescent="0.25">
      <c r="A602" s="33">
        <v>12</v>
      </c>
      <c r="B602" s="34">
        <v>3.9</v>
      </c>
      <c r="C602" s="36">
        <v>50.93</v>
      </c>
      <c r="D602" s="33" t="s">
        <v>9</v>
      </c>
      <c r="E602">
        <f t="shared" si="27"/>
        <v>0</v>
      </c>
      <c r="F602">
        <f t="shared" si="28"/>
        <v>1</v>
      </c>
      <c r="G602">
        <f t="shared" si="29"/>
        <v>0</v>
      </c>
    </row>
    <row r="603" spans="1:7" ht="15.75" customHeight="1" x14ac:dyDescent="0.25">
      <c r="A603" s="33">
        <v>9</v>
      </c>
      <c r="B603" s="34">
        <v>2.1</v>
      </c>
      <c r="C603" s="36">
        <v>22.59</v>
      </c>
      <c r="D603" s="33" t="s">
        <v>9</v>
      </c>
      <c r="E603">
        <f t="shared" si="27"/>
        <v>0</v>
      </c>
      <c r="F603">
        <f t="shared" si="28"/>
        <v>1</v>
      </c>
      <c r="G603">
        <f t="shared" si="29"/>
        <v>0</v>
      </c>
    </row>
    <row r="604" spans="1:7" ht="15.75" customHeight="1" x14ac:dyDescent="0.25">
      <c r="A604" s="33">
        <v>44</v>
      </c>
      <c r="B604" s="34">
        <v>3.3</v>
      </c>
      <c r="C604" s="36">
        <v>35.11</v>
      </c>
      <c r="D604" s="33" t="s">
        <v>9</v>
      </c>
      <c r="E604">
        <f t="shared" si="27"/>
        <v>0</v>
      </c>
      <c r="F604">
        <f t="shared" si="28"/>
        <v>1</v>
      </c>
      <c r="G604">
        <f t="shared" si="29"/>
        <v>0</v>
      </c>
    </row>
    <row r="605" spans="1:7" ht="15.75" customHeight="1" x14ac:dyDescent="0.25">
      <c r="A605" s="33">
        <v>23</v>
      </c>
      <c r="B605" s="34">
        <v>2.8</v>
      </c>
      <c r="C605" s="36">
        <v>11.14</v>
      </c>
      <c r="D605" s="33" t="s">
        <v>9</v>
      </c>
      <c r="E605">
        <f t="shared" si="27"/>
        <v>0</v>
      </c>
      <c r="F605">
        <f t="shared" si="28"/>
        <v>1</v>
      </c>
      <c r="G605">
        <f t="shared" si="29"/>
        <v>0</v>
      </c>
    </row>
    <row r="606" spans="1:7" ht="15.75" customHeight="1" x14ac:dyDescent="0.25">
      <c r="A606" s="33">
        <v>39</v>
      </c>
      <c r="B606" s="34">
        <v>2.1</v>
      </c>
      <c r="C606" s="36">
        <v>43.17</v>
      </c>
      <c r="D606" s="33" t="s">
        <v>9</v>
      </c>
      <c r="E606">
        <f t="shared" si="27"/>
        <v>0</v>
      </c>
      <c r="F606">
        <f t="shared" si="28"/>
        <v>1</v>
      </c>
      <c r="G606">
        <f t="shared" si="29"/>
        <v>0</v>
      </c>
    </row>
    <row r="607" spans="1:7" ht="15.75" customHeight="1" x14ac:dyDescent="0.25">
      <c r="A607" s="33">
        <v>30</v>
      </c>
      <c r="B607" s="34">
        <v>3.7</v>
      </c>
      <c r="C607" s="36">
        <v>12.65</v>
      </c>
      <c r="D607" s="33" t="s">
        <v>9</v>
      </c>
      <c r="E607">
        <f t="shared" si="27"/>
        <v>0</v>
      </c>
      <c r="F607">
        <f t="shared" si="28"/>
        <v>1</v>
      </c>
      <c r="G607">
        <f t="shared" si="29"/>
        <v>0</v>
      </c>
    </row>
    <row r="608" spans="1:7" ht="15.75" customHeight="1" x14ac:dyDescent="0.25">
      <c r="A608" s="33">
        <v>14</v>
      </c>
      <c r="B608" s="34">
        <v>3.9</v>
      </c>
      <c r="C608" s="36">
        <v>27.84</v>
      </c>
      <c r="D608" s="33" t="s">
        <v>9</v>
      </c>
      <c r="E608">
        <f t="shared" si="27"/>
        <v>0</v>
      </c>
      <c r="F608">
        <f t="shared" si="28"/>
        <v>1</v>
      </c>
      <c r="G608">
        <f t="shared" si="29"/>
        <v>0</v>
      </c>
    </row>
    <row r="609" spans="1:7" ht="15.75" customHeight="1" x14ac:dyDescent="0.25">
      <c r="A609" s="33">
        <v>27</v>
      </c>
      <c r="B609" s="34">
        <v>1.6</v>
      </c>
      <c r="C609" s="36">
        <v>38.61</v>
      </c>
      <c r="D609" s="33" t="s">
        <v>9</v>
      </c>
      <c r="E609">
        <f t="shared" si="27"/>
        <v>0</v>
      </c>
      <c r="F609">
        <f t="shared" si="28"/>
        <v>1</v>
      </c>
      <c r="G609">
        <f t="shared" si="29"/>
        <v>0</v>
      </c>
    </row>
    <row r="610" spans="1:7" ht="15.75" customHeight="1" x14ac:dyDescent="0.25">
      <c r="A610" s="33">
        <v>50</v>
      </c>
      <c r="B610" s="34">
        <v>1.7</v>
      </c>
      <c r="C610" s="36">
        <v>17.32</v>
      </c>
      <c r="D610" s="33" t="s">
        <v>9</v>
      </c>
      <c r="E610">
        <f t="shared" si="27"/>
        <v>0</v>
      </c>
      <c r="F610">
        <f t="shared" si="28"/>
        <v>1</v>
      </c>
      <c r="G610">
        <f t="shared" si="29"/>
        <v>0</v>
      </c>
    </row>
    <row r="611" spans="1:7" ht="15.75" customHeight="1" x14ac:dyDescent="0.25">
      <c r="A611" s="33">
        <v>5</v>
      </c>
      <c r="B611" s="34">
        <v>1.5</v>
      </c>
      <c r="C611" s="36">
        <v>22.81</v>
      </c>
      <c r="D611" s="33" t="s">
        <v>9</v>
      </c>
      <c r="E611">
        <f t="shared" si="27"/>
        <v>0</v>
      </c>
      <c r="F611">
        <f t="shared" si="28"/>
        <v>1</v>
      </c>
      <c r="G611">
        <f t="shared" si="29"/>
        <v>0</v>
      </c>
    </row>
    <row r="612" spans="1:7" ht="15.75" customHeight="1" x14ac:dyDescent="0.25">
      <c r="A612" s="33">
        <v>36</v>
      </c>
      <c r="B612" s="34">
        <v>11.3</v>
      </c>
      <c r="C612" s="36">
        <v>87.75</v>
      </c>
      <c r="D612" s="33" t="s">
        <v>9</v>
      </c>
      <c r="E612">
        <f t="shared" si="27"/>
        <v>0</v>
      </c>
      <c r="F612">
        <f t="shared" si="28"/>
        <v>1</v>
      </c>
      <c r="G612">
        <f t="shared" si="29"/>
        <v>0</v>
      </c>
    </row>
    <row r="613" spans="1:7" ht="15.75" customHeight="1" x14ac:dyDescent="0.25">
      <c r="A613" s="33">
        <v>3</v>
      </c>
      <c r="B613" s="34">
        <v>12</v>
      </c>
      <c r="C613" s="36">
        <v>95.73</v>
      </c>
      <c r="D613" s="33" t="s">
        <v>9</v>
      </c>
      <c r="E613">
        <f t="shared" si="27"/>
        <v>0</v>
      </c>
      <c r="F613">
        <f t="shared" si="28"/>
        <v>1</v>
      </c>
      <c r="G613">
        <f t="shared" si="29"/>
        <v>0</v>
      </c>
    </row>
    <row r="614" spans="1:7" ht="15.75" customHeight="1" x14ac:dyDescent="0.25">
      <c r="A614" s="33">
        <v>25</v>
      </c>
      <c r="B614" s="34">
        <v>12.5</v>
      </c>
      <c r="C614" s="36">
        <v>110.81</v>
      </c>
      <c r="D614" s="33" t="s">
        <v>9</v>
      </c>
      <c r="E614">
        <f t="shared" si="27"/>
        <v>0</v>
      </c>
      <c r="F614">
        <f t="shared" si="28"/>
        <v>1</v>
      </c>
      <c r="G614">
        <f t="shared" si="29"/>
        <v>0</v>
      </c>
    </row>
    <row r="615" spans="1:7" ht="15.75" customHeight="1" x14ac:dyDescent="0.25">
      <c r="A615" s="33">
        <v>15</v>
      </c>
      <c r="B615" s="34">
        <v>12.6</v>
      </c>
      <c r="C615" s="36">
        <v>120.86</v>
      </c>
      <c r="D615" s="33" t="s">
        <v>9</v>
      </c>
      <c r="E615">
        <f t="shared" si="27"/>
        <v>0</v>
      </c>
      <c r="F615">
        <f t="shared" si="28"/>
        <v>1</v>
      </c>
      <c r="G615">
        <f t="shared" si="29"/>
        <v>0</v>
      </c>
    </row>
    <row r="616" spans="1:7" ht="15.75" customHeight="1" x14ac:dyDescent="0.25">
      <c r="A616" s="33">
        <v>13</v>
      </c>
      <c r="B616" s="34">
        <v>10.6</v>
      </c>
      <c r="C616" s="36">
        <v>51.82</v>
      </c>
      <c r="D616" s="33" t="s">
        <v>9</v>
      </c>
      <c r="E616">
        <f t="shared" si="27"/>
        <v>0</v>
      </c>
      <c r="F616">
        <f t="shared" si="28"/>
        <v>1</v>
      </c>
      <c r="G616">
        <f t="shared" si="29"/>
        <v>0</v>
      </c>
    </row>
    <row r="617" spans="1:7" ht="15.75" customHeight="1" x14ac:dyDescent="0.25">
      <c r="A617" s="33">
        <v>22</v>
      </c>
      <c r="B617" s="34">
        <v>12.7</v>
      </c>
      <c r="C617" s="36">
        <v>88.57</v>
      </c>
      <c r="D617" s="33" t="s">
        <v>9</v>
      </c>
      <c r="E617">
        <f t="shared" si="27"/>
        <v>0</v>
      </c>
      <c r="F617">
        <f t="shared" si="28"/>
        <v>1</v>
      </c>
      <c r="G617">
        <f t="shared" si="29"/>
        <v>0</v>
      </c>
    </row>
    <row r="618" spans="1:7" ht="15.75" customHeight="1" x14ac:dyDescent="0.25">
      <c r="A618" s="33">
        <v>22</v>
      </c>
      <c r="B618" s="34">
        <v>10.7</v>
      </c>
      <c r="C618" s="36">
        <v>82.02</v>
      </c>
      <c r="D618" s="33" t="s">
        <v>9</v>
      </c>
      <c r="E618">
        <f t="shared" si="27"/>
        <v>0</v>
      </c>
      <c r="F618">
        <f t="shared" si="28"/>
        <v>1</v>
      </c>
      <c r="G618">
        <f t="shared" si="29"/>
        <v>0</v>
      </c>
    </row>
    <row r="619" spans="1:7" ht="15.75" customHeight="1" x14ac:dyDescent="0.25">
      <c r="A619" s="33">
        <v>39</v>
      </c>
      <c r="B619" s="34">
        <v>12.5</v>
      </c>
      <c r="C619" s="36">
        <v>105.61</v>
      </c>
      <c r="D619" s="33" t="s">
        <v>9</v>
      </c>
      <c r="E619">
        <f t="shared" si="27"/>
        <v>0</v>
      </c>
      <c r="F619">
        <f t="shared" si="28"/>
        <v>1</v>
      </c>
      <c r="G619">
        <f t="shared" si="29"/>
        <v>0</v>
      </c>
    </row>
    <row r="620" spans="1:7" ht="15.75" customHeight="1" x14ac:dyDescent="0.25">
      <c r="A620" s="33">
        <v>23</v>
      </c>
      <c r="B620" s="34">
        <v>12.1</v>
      </c>
      <c r="C620" s="36">
        <v>83.86</v>
      </c>
      <c r="D620" s="33" t="s">
        <v>9</v>
      </c>
      <c r="E620">
        <f t="shared" si="27"/>
        <v>0</v>
      </c>
      <c r="F620">
        <f t="shared" si="28"/>
        <v>1</v>
      </c>
      <c r="G620">
        <f t="shared" si="29"/>
        <v>0</v>
      </c>
    </row>
    <row r="621" spans="1:7" ht="15.75" customHeight="1" x14ac:dyDescent="0.25">
      <c r="A621" s="33">
        <v>46</v>
      </c>
      <c r="B621" s="34">
        <v>12.2</v>
      </c>
      <c r="C621" s="36">
        <v>90.89</v>
      </c>
      <c r="D621" s="33" t="s">
        <v>9</v>
      </c>
      <c r="E621">
        <f t="shared" si="27"/>
        <v>0</v>
      </c>
      <c r="F621">
        <f t="shared" si="28"/>
        <v>1</v>
      </c>
      <c r="G621">
        <f t="shared" si="29"/>
        <v>0</v>
      </c>
    </row>
    <row r="622" spans="1:7" ht="15.75" customHeight="1" x14ac:dyDescent="0.25">
      <c r="A622" s="33">
        <v>19</v>
      </c>
      <c r="B622" s="34">
        <v>12.7</v>
      </c>
      <c r="C622" s="36">
        <v>89.68</v>
      </c>
      <c r="D622" s="33" t="s">
        <v>9</v>
      </c>
      <c r="E622">
        <f t="shared" si="27"/>
        <v>0</v>
      </c>
      <c r="F622">
        <f t="shared" si="28"/>
        <v>1</v>
      </c>
      <c r="G622">
        <f t="shared" si="29"/>
        <v>0</v>
      </c>
    </row>
    <row r="623" spans="1:7" ht="15.75" customHeight="1" x14ac:dyDescent="0.25">
      <c r="A623" s="33">
        <v>4</v>
      </c>
      <c r="B623" s="34">
        <v>10.4</v>
      </c>
      <c r="C623" s="36">
        <v>103.09</v>
      </c>
      <c r="D623" s="33" t="s">
        <v>9</v>
      </c>
      <c r="E623">
        <f t="shared" si="27"/>
        <v>0</v>
      </c>
      <c r="F623">
        <f t="shared" si="28"/>
        <v>1</v>
      </c>
      <c r="G623">
        <f t="shared" si="29"/>
        <v>0</v>
      </c>
    </row>
    <row r="624" spans="1:7" ht="15.75" customHeight="1" x14ac:dyDescent="0.25">
      <c r="A624" s="33">
        <v>26</v>
      </c>
      <c r="B624" s="34">
        <v>11.8</v>
      </c>
      <c r="C624" s="36">
        <v>105.6</v>
      </c>
      <c r="D624" s="33" t="s">
        <v>9</v>
      </c>
      <c r="E624">
        <f t="shared" si="27"/>
        <v>0</v>
      </c>
      <c r="F624">
        <f t="shared" si="28"/>
        <v>1</v>
      </c>
      <c r="G624">
        <f t="shared" si="29"/>
        <v>0</v>
      </c>
    </row>
    <row r="625" spans="1:7" ht="15.75" customHeight="1" x14ac:dyDescent="0.25">
      <c r="A625" s="33">
        <v>22</v>
      </c>
      <c r="B625" s="34">
        <v>11.3</v>
      </c>
      <c r="C625" s="36">
        <v>99.6</v>
      </c>
      <c r="D625" s="33" t="s">
        <v>9</v>
      </c>
      <c r="E625">
        <f t="shared" si="27"/>
        <v>0</v>
      </c>
      <c r="F625">
        <f t="shared" si="28"/>
        <v>1</v>
      </c>
      <c r="G625">
        <f t="shared" si="29"/>
        <v>0</v>
      </c>
    </row>
    <row r="626" spans="1:7" ht="15.75" customHeight="1" x14ac:dyDescent="0.25">
      <c r="A626" s="33">
        <v>20</v>
      </c>
      <c r="B626" s="34">
        <v>11.9</v>
      </c>
      <c r="C626" s="36">
        <v>95.17</v>
      </c>
      <c r="D626" s="33" t="s">
        <v>9</v>
      </c>
      <c r="E626">
        <f t="shared" si="27"/>
        <v>0</v>
      </c>
      <c r="F626">
        <f t="shared" si="28"/>
        <v>1</v>
      </c>
      <c r="G626">
        <f t="shared" si="29"/>
        <v>0</v>
      </c>
    </row>
    <row r="627" spans="1:7" ht="15.75" customHeight="1" x14ac:dyDescent="0.25">
      <c r="A627" s="33">
        <v>29</v>
      </c>
      <c r="B627" s="34">
        <v>12.2</v>
      </c>
      <c r="C627" s="36">
        <v>57.01</v>
      </c>
      <c r="D627" s="33" t="s">
        <v>9</v>
      </c>
      <c r="E627">
        <f t="shared" si="27"/>
        <v>0</v>
      </c>
      <c r="F627">
        <f t="shared" si="28"/>
        <v>1</v>
      </c>
      <c r="G627">
        <f t="shared" si="29"/>
        <v>0</v>
      </c>
    </row>
    <row r="628" spans="1:7" ht="15.75" customHeight="1" x14ac:dyDescent="0.25">
      <c r="A628" s="33">
        <v>45</v>
      </c>
      <c r="B628" s="34">
        <v>11.8</v>
      </c>
      <c r="C628" s="36">
        <v>78.2</v>
      </c>
      <c r="D628" s="33" t="s">
        <v>9</v>
      </c>
      <c r="E628">
        <f t="shared" si="27"/>
        <v>0</v>
      </c>
      <c r="F628">
        <f t="shared" si="28"/>
        <v>1</v>
      </c>
      <c r="G628">
        <f t="shared" si="29"/>
        <v>0</v>
      </c>
    </row>
    <row r="629" spans="1:7" ht="15.75" customHeight="1" x14ac:dyDescent="0.25">
      <c r="A629" s="33">
        <v>28</v>
      </c>
      <c r="B629" s="34">
        <v>12.3</v>
      </c>
      <c r="C629" s="36">
        <v>103.88</v>
      </c>
      <c r="D629" s="33" t="s">
        <v>9</v>
      </c>
      <c r="E629">
        <f t="shared" si="27"/>
        <v>0</v>
      </c>
      <c r="F629">
        <f t="shared" si="28"/>
        <v>1</v>
      </c>
      <c r="G629">
        <f t="shared" si="29"/>
        <v>0</v>
      </c>
    </row>
    <row r="630" spans="1:7" ht="15.75" customHeight="1" x14ac:dyDescent="0.25">
      <c r="A630" s="33">
        <v>25</v>
      </c>
      <c r="B630" s="34">
        <v>12</v>
      </c>
      <c r="C630" s="36">
        <v>83.21</v>
      </c>
      <c r="D630" s="33" t="s">
        <v>9</v>
      </c>
      <c r="E630">
        <f t="shared" si="27"/>
        <v>0</v>
      </c>
      <c r="F630">
        <f t="shared" si="28"/>
        <v>1</v>
      </c>
      <c r="G630">
        <f t="shared" si="29"/>
        <v>0</v>
      </c>
    </row>
    <row r="631" spans="1:7" ht="15.75" customHeight="1" x14ac:dyDescent="0.25">
      <c r="A631" s="33">
        <v>33</v>
      </c>
      <c r="B631" s="34">
        <v>11.9</v>
      </c>
      <c r="C631" s="36">
        <v>114.96</v>
      </c>
      <c r="D631" s="33" t="s">
        <v>9</v>
      </c>
      <c r="E631">
        <f t="shared" si="27"/>
        <v>0</v>
      </c>
      <c r="F631">
        <f t="shared" si="28"/>
        <v>1</v>
      </c>
      <c r="G631">
        <f t="shared" si="29"/>
        <v>0</v>
      </c>
    </row>
    <row r="632" spans="1:7" ht="15.75" customHeight="1" x14ac:dyDescent="0.25">
      <c r="A632" s="33">
        <v>16</v>
      </c>
      <c r="B632" s="34">
        <v>11.9</v>
      </c>
      <c r="C632" s="36">
        <v>79.23</v>
      </c>
      <c r="D632" s="33" t="s">
        <v>9</v>
      </c>
      <c r="E632">
        <f t="shared" si="27"/>
        <v>0</v>
      </c>
      <c r="F632">
        <f t="shared" si="28"/>
        <v>1</v>
      </c>
      <c r="G632">
        <f t="shared" si="29"/>
        <v>0</v>
      </c>
    </row>
    <row r="633" spans="1:7" ht="15.75" customHeight="1" x14ac:dyDescent="0.25">
      <c r="A633" s="33">
        <v>17</v>
      </c>
      <c r="B633" s="34">
        <v>10.199999999999999</v>
      </c>
      <c r="C633" s="36">
        <v>45.79</v>
      </c>
      <c r="D633" s="33" t="s">
        <v>9</v>
      </c>
      <c r="E633">
        <f t="shared" si="27"/>
        <v>0</v>
      </c>
      <c r="F633">
        <f t="shared" si="28"/>
        <v>1</v>
      </c>
      <c r="G633">
        <f t="shared" si="29"/>
        <v>0</v>
      </c>
    </row>
    <row r="634" spans="1:7" ht="15.75" customHeight="1" x14ac:dyDescent="0.25">
      <c r="A634" s="33">
        <v>27</v>
      </c>
      <c r="B634" s="34">
        <v>11.4</v>
      </c>
      <c r="C634" s="36">
        <v>56.37</v>
      </c>
      <c r="D634" s="33" t="s">
        <v>9</v>
      </c>
      <c r="E634">
        <f t="shared" si="27"/>
        <v>0</v>
      </c>
      <c r="F634">
        <f t="shared" si="28"/>
        <v>1</v>
      </c>
      <c r="G634">
        <f t="shared" si="29"/>
        <v>0</v>
      </c>
    </row>
    <row r="635" spans="1:7" ht="15.75" customHeight="1" x14ac:dyDescent="0.25">
      <c r="A635" s="33">
        <v>36</v>
      </c>
      <c r="B635" s="34">
        <v>12.8</v>
      </c>
      <c r="C635" s="36">
        <v>91.79</v>
      </c>
      <c r="D635" s="33" t="s">
        <v>9</v>
      </c>
      <c r="E635">
        <f t="shared" si="27"/>
        <v>0</v>
      </c>
      <c r="F635">
        <f t="shared" si="28"/>
        <v>1</v>
      </c>
      <c r="G635">
        <f t="shared" si="29"/>
        <v>0</v>
      </c>
    </row>
    <row r="636" spans="1:7" ht="15.75" customHeight="1" x14ac:dyDescent="0.25">
      <c r="A636" s="33">
        <v>21</v>
      </c>
      <c r="B636" s="34">
        <v>10.6</v>
      </c>
      <c r="C636" s="36">
        <v>85.37</v>
      </c>
      <c r="D636" s="33" t="s">
        <v>9</v>
      </c>
      <c r="E636">
        <f t="shared" si="27"/>
        <v>0</v>
      </c>
      <c r="F636">
        <f t="shared" si="28"/>
        <v>1</v>
      </c>
      <c r="G636">
        <f t="shared" si="29"/>
        <v>0</v>
      </c>
    </row>
    <row r="637" spans="1:7" ht="15.75" customHeight="1" x14ac:dyDescent="0.25">
      <c r="A637" s="33">
        <v>22</v>
      </c>
      <c r="B637" s="34">
        <v>12.4</v>
      </c>
      <c r="C637" s="36">
        <v>96.74</v>
      </c>
      <c r="D637" s="33" t="s">
        <v>9</v>
      </c>
      <c r="E637">
        <f t="shared" si="27"/>
        <v>0</v>
      </c>
      <c r="F637">
        <f t="shared" si="28"/>
        <v>1</v>
      </c>
      <c r="G637">
        <f t="shared" si="29"/>
        <v>0</v>
      </c>
    </row>
    <row r="638" spans="1:7" ht="15.75" customHeight="1" x14ac:dyDescent="0.25">
      <c r="A638" s="33">
        <v>17</v>
      </c>
      <c r="B638" s="34">
        <v>10</v>
      </c>
      <c r="C638" s="36">
        <v>88.16</v>
      </c>
      <c r="D638" s="33" t="s">
        <v>9</v>
      </c>
      <c r="E638">
        <f t="shared" si="27"/>
        <v>0</v>
      </c>
      <c r="F638">
        <f t="shared" si="28"/>
        <v>1</v>
      </c>
      <c r="G638">
        <f t="shared" si="29"/>
        <v>0</v>
      </c>
    </row>
    <row r="639" spans="1:7" ht="15.75" customHeight="1" x14ac:dyDescent="0.25">
      <c r="A639" s="33">
        <v>35</v>
      </c>
      <c r="B639" s="34">
        <v>12.4</v>
      </c>
      <c r="C639" s="36">
        <v>109.42</v>
      </c>
      <c r="D639" s="33" t="s">
        <v>9</v>
      </c>
      <c r="E639">
        <f t="shared" si="27"/>
        <v>0</v>
      </c>
      <c r="F639">
        <f t="shared" si="28"/>
        <v>1</v>
      </c>
      <c r="G639">
        <f t="shared" si="29"/>
        <v>0</v>
      </c>
    </row>
    <row r="640" spans="1:7" ht="15.75" customHeight="1" x14ac:dyDescent="0.25">
      <c r="A640" s="33">
        <v>23</v>
      </c>
      <c r="B640" s="34">
        <v>11.8</v>
      </c>
      <c r="C640" s="36">
        <v>74.97</v>
      </c>
      <c r="D640" s="33" t="s">
        <v>9</v>
      </c>
      <c r="E640">
        <f t="shared" si="27"/>
        <v>0</v>
      </c>
      <c r="F640">
        <f t="shared" si="28"/>
        <v>1</v>
      </c>
      <c r="G640">
        <f t="shared" si="29"/>
        <v>0</v>
      </c>
    </row>
    <row r="641" spans="1:7" ht="15.75" customHeight="1" x14ac:dyDescent="0.25">
      <c r="A641" s="33">
        <v>18</v>
      </c>
      <c r="B641" s="34">
        <v>11.1</v>
      </c>
      <c r="C641" s="36">
        <v>100.82</v>
      </c>
      <c r="D641" s="33" t="s">
        <v>9</v>
      </c>
      <c r="E641">
        <f t="shared" si="27"/>
        <v>0</v>
      </c>
      <c r="F641">
        <f t="shared" si="28"/>
        <v>1</v>
      </c>
      <c r="G641">
        <f t="shared" si="29"/>
        <v>0</v>
      </c>
    </row>
    <row r="642" spans="1:7" ht="15.75" customHeight="1" x14ac:dyDescent="0.25">
      <c r="A642" s="33">
        <v>33</v>
      </c>
      <c r="B642" s="34">
        <v>11</v>
      </c>
      <c r="C642" s="36">
        <v>63.32</v>
      </c>
      <c r="D642" s="33" t="s">
        <v>9</v>
      </c>
      <c r="E642">
        <f t="shared" ref="E642:E661" si="30">IF(D642="bien de conso.",1,0)</f>
        <v>0</v>
      </c>
      <c r="F642">
        <f t="shared" ref="F642:F661" si="31">IF($D642="nourriture",1,0)</f>
        <v>1</v>
      </c>
      <c r="G642">
        <f t="shared" ref="G642:G661" si="32">IF($D642="high tech",1,0)</f>
        <v>0</v>
      </c>
    </row>
    <row r="643" spans="1:7" ht="15.75" customHeight="1" x14ac:dyDescent="0.25">
      <c r="A643" s="33">
        <v>27</v>
      </c>
      <c r="B643" s="34">
        <v>11.3</v>
      </c>
      <c r="C643" s="36">
        <v>92.43</v>
      </c>
      <c r="D643" s="33" t="s">
        <v>9</v>
      </c>
      <c r="E643">
        <f t="shared" si="30"/>
        <v>0</v>
      </c>
      <c r="F643">
        <f t="shared" si="31"/>
        <v>1</v>
      </c>
      <c r="G643">
        <f t="shared" si="32"/>
        <v>0</v>
      </c>
    </row>
    <row r="644" spans="1:7" ht="15.75" customHeight="1" x14ac:dyDescent="0.25">
      <c r="A644" s="33">
        <v>30</v>
      </c>
      <c r="B644" s="34">
        <v>12.1</v>
      </c>
      <c r="C644" s="36">
        <v>92.08</v>
      </c>
      <c r="D644" s="33" t="s">
        <v>9</v>
      </c>
      <c r="E644">
        <f t="shared" si="30"/>
        <v>0</v>
      </c>
      <c r="F644">
        <f t="shared" si="31"/>
        <v>1</v>
      </c>
      <c r="G644">
        <f t="shared" si="32"/>
        <v>0</v>
      </c>
    </row>
    <row r="645" spans="1:7" ht="15.75" customHeight="1" x14ac:dyDescent="0.25">
      <c r="A645" s="33">
        <v>41</v>
      </c>
      <c r="B645" s="34">
        <v>11.7</v>
      </c>
      <c r="C645" s="36">
        <v>93.63</v>
      </c>
      <c r="D645" s="33" t="s">
        <v>9</v>
      </c>
      <c r="E645">
        <f t="shared" si="30"/>
        <v>0</v>
      </c>
      <c r="F645">
        <f t="shared" si="31"/>
        <v>1</v>
      </c>
      <c r="G645">
        <f t="shared" si="32"/>
        <v>0</v>
      </c>
    </row>
    <row r="646" spans="1:7" ht="15.75" customHeight="1" x14ac:dyDescent="0.25">
      <c r="A646" s="33">
        <v>26</v>
      </c>
      <c r="B646" s="34">
        <v>10</v>
      </c>
      <c r="C646" s="36">
        <v>98.34</v>
      </c>
      <c r="D646" s="33" t="s">
        <v>9</v>
      </c>
      <c r="E646">
        <f t="shared" si="30"/>
        <v>0</v>
      </c>
      <c r="F646">
        <f t="shared" si="31"/>
        <v>1</v>
      </c>
      <c r="G646">
        <f t="shared" si="32"/>
        <v>0</v>
      </c>
    </row>
    <row r="647" spans="1:7" ht="15.75" customHeight="1" x14ac:dyDescent="0.25">
      <c r="A647" s="33">
        <v>17</v>
      </c>
      <c r="B647" s="34">
        <v>10.1</v>
      </c>
      <c r="C647" s="36">
        <v>87.63</v>
      </c>
      <c r="D647" s="33" t="s">
        <v>9</v>
      </c>
      <c r="E647">
        <f t="shared" si="30"/>
        <v>0</v>
      </c>
      <c r="F647">
        <f t="shared" si="31"/>
        <v>1</v>
      </c>
      <c r="G647">
        <f t="shared" si="32"/>
        <v>0</v>
      </c>
    </row>
    <row r="648" spans="1:7" ht="15.75" customHeight="1" x14ac:dyDescent="0.25">
      <c r="A648" s="33">
        <v>10</v>
      </c>
      <c r="B648" s="34">
        <v>11.6</v>
      </c>
      <c r="C648" s="36">
        <v>64.5</v>
      </c>
      <c r="D648" s="33" t="s">
        <v>9</v>
      </c>
      <c r="E648">
        <f t="shared" si="30"/>
        <v>0</v>
      </c>
      <c r="F648">
        <f t="shared" si="31"/>
        <v>1</v>
      </c>
      <c r="G648">
        <f t="shared" si="32"/>
        <v>0</v>
      </c>
    </row>
    <row r="649" spans="1:7" ht="15.75" customHeight="1" x14ac:dyDescent="0.25">
      <c r="A649" s="33">
        <v>40</v>
      </c>
      <c r="B649" s="34">
        <v>10.6</v>
      </c>
      <c r="C649" s="36">
        <v>80</v>
      </c>
      <c r="D649" s="33" t="s">
        <v>9</v>
      </c>
      <c r="E649">
        <f t="shared" si="30"/>
        <v>0</v>
      </c>
      <c r="F649">
        <f t="shared" si="31"/>
        <v>1</v>
      </c>
      <c r="G649">
        <f t="shared" si="32"/>
        <v>0</v>
      </c>
    </row>
    <row r="650" spans="1:7" ht="15.75" customHeight="1" x14ac:dyDescent="0.25">
      <c r="A650" s="33">
        <v>2</v>
      </c>
      <c r="B650" s="34">
        <v>10.7</v>
      </c>
      <c r="C650" s="36">
        <v>99.73</v>
      </c>
      <c r="D650" s="33" t="s">
        <v>9</v>
      </c>
      <c r="E650">
        <f t="shared" si="30"/>
        <v>0</v>
      </c>
      <c r="F650">
        <f t="shared" si="31"/>
        <v>1</v>
      </c>
      <c r="G650">
        <f t="shared" si="32"/>
        <v>0</v>
      </c>
    </row>
    <row r="651" spans="1:7" ht="15.75" customHeight="1" x14ac:dyDescent="0.25">
      <c r="A651" s="33">
        <v>44</v>
      </c>
      <c r="B651" s="34">
        <v>10.3</v>
      </c>
      <c r="C651" s="36">
        <v>89.49</v>
      </c>
      <c r="D651" s="33" t="s">
        <v>9</v>
      </c>
      <c r="E651">
        <f t="shared" si="30"/>
        <v>0</v>
      </c>
      <c r="F651">
        <f t="shared" si="31"/>
        <v>1</v>
      </c>
      <c r="G651">
        <f t="shared" si="32"/>
        <v>0</v>
      </c>
    </row>
    <row r="652" spans="1:7" ht="15.75" customHeight="1" x14ac:dyDescent="0.25">
      <c r="A652" s="33">
        <v>31</v>
      </c>
      <c r="B652" s="34">
        <v>11.6</v>
      </c>
      <c r="C652" s="36">
        <v>95.39</v>
      </c>
      <c r="D652" s="33" t="s">
        <v>9</v>
      </c>
      <c r="E652">
        <f t="shared" si="30"/>
        <v>0</v>
      </c>
      <c r="F652">
        <f t="shared" si="31"/>
        <v>1</v>
      </c>
      <c r="G652">
        <f t="shared" si="32"/>
        <v>0</v>
      </c>
    </row>
    <row r="653" spans="1:7" ht="15.75" customHeight="1" x14ac:dyDescent="0.25">
      <c r="A653" s="33">
        <v>40</v>
      </c>
      <c r="B653" s="34">
        <v>12.1</v>
      </c>
      <c r="C653" s="36">
        <v>94.07</v>
      </c>
      <c r="D653" s="33" t="s">
        <v>9</v>
      </c>
      <c r="E653">
        <f t="shared" si="30"/>
        <v>0</v>
      </c>
      <c r="F653">
        <f t="shared" si="31"/>
        <v>1</v>
      </c>
      <c r="G653">
        <f t="shared" si="32"/>
        <v>0</v>
      </c>
    </row>
    <row r="654" spans="1:7" ht="15.75" customHeight="1" x14ac:dyDescent="0.25">
      <c r="A654" s="33">
        <v>41</v>
      </c>
      <c r="B654" s="34">
        <v>12.5</v>
      </c>
      <c r="C654" s="36">
        <v>99.72</v>
      </c>
      <c r="D654" s="33" t="s">
        <v>9</v>
      </c>
      <c r="E654">
        <f t="shared" si="30"/>
        <v>0</v>
      </c>
      <c r="F654">
        <f t="shared" si="31"/>
        <v>1</v>
      </c>
      <c r="G654">
        <f t="shared" si="32"/>
        <v>0</v>
      </c>
    </row>
    <row r="655" spans="1:7" ht="15.75" customHeight="1" x14ac:dyDescent="0.25">
      <c r="A655" s="33">
        <v>15</v>
      </c>
      <c r="B655" s="34">
        <v>10.9</v>
      </c>
      <c r="C655" s="36">
        <v>77.13</v>
      </c>
      <c r="D655" s="33" t="s">
        <v>9</v>
      </c>
      <c r="E655">
        <f t="shared" si="30"/>
        <v>0</v>
      </c>
      <c r="F655">
        <f t="shared" si="31"/>
        <v>1</v>
      </c>
      <c r="G655">
        <f t="shared" si="32"/>
        <v>0</v>
      </c>
    </row>
    <row r="656" spans="1:7" ht="15.75" customHeight="1" x14ac:dyDescent="0.25">
      <c r="A656" s="33">
        <v>57</v>
      </c>
      <c r="B656" s="34">
        <v>13</v>
      </c>
      <c r="C656" s="36">
        <v>67.31</v>
      </c>
      <c r="D656" s="33" t="s">
        <v>9</v>
      </c>
      <c r="E656">
        <f t="shared" si="30"/>
        <v>0</v>
      </c>
      <c r="F656">
        <f t="shared" si="31"/>
        <v>1</v>
      </c>
      <c r="G656">
        <f t="shared" si="32"/>
        <v>0</v>
      </c>
    </row>
    <row r="657" spans="1:7" ht="15.75" customHeight="1" x14ac:dyDescent="0.25">
      <c r="A657" s="33">
        <v>51</v>
      </c>
      <c r="B657" s="34">
        <v>11.5</v>
      </c>
      <c r="C657" s="36">
        <v>118.49</v>
      </c>
      <c r="D657" s="33" t="s">
        <v>9</v>
      </c>
      <c r="E657">
        <f t="shared" si="30"/>
        <v>0</v>
      </c>
      <c r="F657">
        <f t="shared" si="31"/>
        <v>1</v>
      </c>
      <c r="G657">
        <f t="shared" si="32"/>
        <v>0</v>
      </c>
    </row>
    <row r="658" spans="1:7" ht="15.75" customHeight="1" x14ac:dyDescent="0.25">
      <c r="A658" s="33">
        <v>41</v>
      </c>
      <c r="B658" s="34">
        <v>11.1</v>
      </c>
      <c r="C658" s="36">
        <v>67.2</v>
      </c>
      <c r="D658" s="33" t="s">
        <v>9</v>
      </c>
      <c r="E658">
        <f t="shared" si="30"/>
        <v>0</v>
      </c>
      <c r="F658">
        <f t="shared" si="31"/>
        <v>1</v>
      </c>
      <c r="G658">
        <f t="shared" si="32"/>
        <v>0</v>
      </c>
    </row>
    <row r="659" spans="1:7" ht="15.75" customHeight="1" x14ac:dyDescent="0.25">
      <c r="A659" s="33">
        <v>41</v>
      </c>
      <c r="B659" s="34">
        <v>12.5</v>
      </c>
      <c r="C659" s="36">
        <v>100.55</v>
      </c>
      <c r="D659" s="33" t="s">
        <v>9</v>
      </c>
      <c r="E659">
        <f t="shared" si="30"/>
        <v>0</v>
      </c>
      <c r="F659">
        <f t="shared" si="31"/>
        <v>1</v>
      </c>
      <c r="G659">
        <f t="shared" si="32"/>
        <v>0</v>
      </c>
    </row>
    <row r="660" spans="1:7" ht="15.75" customHeight="1" x14ac:dyDescent="0.25">
      <c r="A660" s="33">
        <v>30</v>
      </c>
      <c r="B660" s="34">
        <v>12.2</v>
      </c>
      <c r="C660" s="36">
        <v>79.36</v>
      </c>
      <c r="D660" s="33" t="s">
        <v>9</v>
      </c>
      <c r="E660">
        <f t="shared" si="30"/>
        <v>0</v>
      </c>
      <c r="F660">
        <f t="shared" si="31"/>
        <v>1</v>
      </c>
      <c r="G660">
        <f t="shared" si="32"/>
        <v>0</v>
      </c>
    </row>
    <row r="661" spans="1:7" ht="15.75" customHeight="1" x14ac:dyDescent="0.25">
      <c r="A661" s="33">
        <v>2</v>
      </c>
      <c r="B661" s="34">
        <v>12.4</v>
      </c>
      <c r="C661" s="36">
        <v>90.66</v>
      </c>
      <c r="D661" s="33" t="s">
        <v>9</v>
      </c>
      <c r="E661">
        <f t="shared" si="30"/>
        <v>0</v>
      </c>
      <c r="F661">
        <f t="shared" si="31"/>
        <v>1</v>
      </c>
      <c r="G661">
        <f t="shared" si="32"/>
        <v>0</v>
      </c>
    </row>
    <row r="662" spans="1:7" ht="15.75" customHeight="1" x14ac:dyDescent="0.25">
      <c r="A662" s="33"/>
      <c r="B662" s="33"/>
      <c r="C662" s="33"/>
      <c r="D662" s="33"/>
    </row>
    <row r="663" spans="1:7" ht="15.75" customHeight="1" x14ac:dyDescent="0.25">
      <c r="A663" s="33"/>
      <c r="B663" s="33"/>
      <c r="C663" s="33"/>
      <c r="D663" s="33"/>
    </row>
    <row r="664" spans="1:7" ht="15.75" customHeight="1" x14ac:dyDescent="0.25">
      <c r="A664" s="33"/>
      <c r="B664" s="33"/>
      <c r="C664" s="33"/>
      <c r="D664" s="33"/>
    </row>
    <row r="665" spans="1:7" ht="15.75" customHeight="1" x14ac:dyDescent="0.25">
      <c r="A665" s="33"/>
      <c r="B665" s="33"/>
      <c r="C665" s="33"/>
      <c r="D665" s="33"/>
    </row>
    <row r="666" spans="1:7" ht="15.75" customHeight="1" x14ac:dyDescent="0.25">
      <c r="A666" s="33"/>
      <c r="B666" s="33"/>
      <c r="C666" s="33"/>
      <c r="D666" s="33"/>
    </row>
    <row r="667" spans="1:7" ht="15.75" customHeight="1" x14ac:dyDescent="0.25">
      <c r="A667" s="33"/>
      <c r="B667" s="33"/>
      <c r="C667" s="33"/>
      <c r="D667" s="33"/>
    </row>
    <row r="668" spans="1:7" ht="15.75" customHeight="1" x14ac:dyDescent="0.25">
      <c r="A668" s="33"/>
      <c r="B668" s="33"/>
      <c r="C668" s="33"/>
      <c r="D668" s="33"/>
    </row>
    <row r="669" spans="1:7" ht="15.75" customHeight="1" x14ac:dyDescent="0.25">
      <c r="A669" s="33"/>
      <c r="B669" s="33"/>
      <c r="C669" s="33"/>
      <c r="D669" s="33"/>
    </row>
    <row r="670" spans="1:7" ht="15.75" customHeight="1" x14ac:dyDescent="0.25">
      <c r="A670" s="33"/>
      <c r="B670" s="33"/>
      <c r="C670" s="33"/>
      <c r="D670" s="33"/>
    </row>
    <row r="671" spans="1:7" ht="15.75" customHeight="1" x14ac:dyDescent="0.25">
      <c r="A671" s="33"/>
      <c r="B671" s="33"/>
      <c r="C671" s="33"/>
      <c r="D671" s="33"/>
    </row>
    <row r="672" spans="1:7" ht="15.75" customHeight="1" x14ac:dyDescent="0.25">
      <c r="A672" s="33"/>
      <c r="B672" s="33"/>
      <c r="C672" s="33"/>
      <c r="D672" s="33"/>
    </row>
    <row r="673" spans="1:4" ht="15.75" customHeight="1" x14ac:dyDescent="0.25">
      <c r="A673" s="33"/>
      <c r="B673" s="33"/>
      <c r="C673" s="33"/>
      <c r="D673" s="33"/>
    </row>
    <row r="674" spans="1:4" ht="15.75" customHeight="1" x14ac:dyDescent="0.25">
      <c r="A674" s="33"/>
      <c r="B674" s="33"/>
      <c r="C674" s="33"/>
      <c r="D674" s="33"/>
    </row>
    <row r="675" spans="1:4" ht="15.75" customHeight="1" x14ac:dyDescent="0.25">
      <c r="A675" s="33"/>
      <c r="B675" s="33"/>
      <c r="C675" s="33"/>
      <c r="D675" s="33"/>
    </row>
    <row r="676" spans="1:4" ht="15.75" customHeight="1" x14ac:dyDescent="0.25">
      <c r="A676" s="33"/>
      <c r="B676" s="33"/>
      <c r="C676" s="33"/>
      <c r="D676" s="33"/>
    </row>
    <row r="677" spans="1:4" ht="15.75" customHeight="1" x14ac:dyDescent="0.25">
      <c r="A677" s="33"/>
      <c r="B677" s="33"/>
      <c r="C677" s="33"/>
      <c r="D677" s="33"/>
    </row>
    <row r="678" spans="1:4" ht="15.75" customHeight="1" x14ac:dyDescent="0.25">
      <c r="A678" s="33"/>
      <c r="B678" s="33"/>
      <c r="C678" s="33"/>
      <c r="D678" s="33"/>
    </row>
    <row r="679" spans="1:4" ht="15.75" customHeight="1" x14ac:dyDescent="0.25">
      <c r="A679" s="33"/>
      <c r="B679" s="33"/>
      <c r="C679" s="33"/>
      <c r="D679" s="33"/>
    </row>
    <row r="680" spans="1:4" ht="15.75" customHeight="1" x14ac:dyDescent="0.25">
      <c r="A680" s="33"/>
      <c r="B680" s="33"/>
      <c r="C680" s="33"/>
      <c r="D680" s="33"/>
    </row>
    <row r="681" spans="1:4" ht="15.75" customHeight="1" x14ac:dyDescent="0.25">
      <c r="A681" s="33"/>
      <c r="B681" s="33"/>
      <c r="C681" s="33"/>
      <c r="D681" s="33"/>
    </row>
    <row r="682" spans="1:4" ht="15.75" customHeight="1" x14ac:dyDescent="0.25">
      <c r="A682" s="33"/>
      <c r="B682" s="33"/>
      <c r="C682" s="33"/>
      <c r="D682" s="33"/>
    </row>
    <row r="683" spans="1:4" ht="15.75" customHeight="1" x14ac:dyDescent="0.25">
      <c r="A683" s="33"/>
      <c r="B683" s="33"/>
      <c r="C683" s="33"/>
      <c r="D683" s="33"/>
    </row>
    <row r="684" spans="1:4" ht="15.75" customHeight="1" x14ac:dyDescent="0.25">
      <c r="A684" s="33"/>
      <c r="B684" s="33"/>
      <c r="C684" s="33"/>
      <c r="D684" s="33"/>
    </row>
    <row r="685" spans="1:4" ht="15.75" customHeight="1" x14ac:dyDescent="0.25">
      <c r="A685" s="33"/>
      <c r="B685" s="33"/>
      <c r="C685" s="33"/>
      <c r="D685" s="33"/>
    </row>
    <row r="686" spans="1:4" ht="15.75" customHeight="1" x14ac:dyDescent="0.25">
      <c r="A686" s="33"/>
      <c r="B686" s="33"/>
      <c r="C686" s="33"/>
      <c r="D686" s="33"/>
    </row>
    <row r="687" spans="1:4" ht="15.75" customHeight="1" x14ac:dyDescent="0.25">
      <c r="A687" s="33"/>
      <c r="B687" s="33"/>
      <c r="C687" s="33"/>
      <c r="D687" s="33"/>
    </row>
    <row r="688" spans="1:4" ht="15.75" customHeight="1" x14ac:dyDescent="0.25">
      <c r="A688" s="33"/>
      <c r="B688" s="33"/>
      <c r="C688" s="33"/>
      <c r="D688" s="33"/>
    </row>
    <row r="689" spans="1:4" ht="15.75" customHeight="1" x14ac:dyDescent="0.25">
      <c r="A689" s="33"/>
      <c r="B689" s="33"/>
      <c r="C689" s="33"/>
      <c r="D689" s="33"/>
    </row>
    <row r="690" spans="1:4" ht="15.75" customHeight="1" x14ac:dyDescent="0.25">
      <c r="A690" s="33"/>
      <c r="B690" s="33"/>
      <c r="C690" s="33"/>
      <c r="D690" s="33"/>
    </row>
    <row r="691" spans="1:4" ht="15.75" customHeight="1" x14ac:dyDescent="0.25">
      <c r="A691" s="33"/>
      <c r="B691" s="33"/>
      <c r="C691" s="33"/>
      <c r="D691" s="33"/>
    </row>
    <row r="692" spans="1:4" ht="15.75" customHeight="1" x14ac:dyDescent="0.25">
      <c r="A692" s="33"/>
      <c r="B692" s="33"/>
      <c r="C692" s="33"/>
      <c r="D692" s="33"/>
    </row>
    <row r="693" spans="1:4" ht="15.75" customHeight="1" x14ac:dyDescent="0.25">
      <c r="A693" s="33"/>
      <c r="B693" s="33"/>
      <c r="C693" s="33"/>
      <c r="D693" s="33"/>
    </row>
    <row r="694" spans="1:4" ht="15.75" customHeight="1" x14ac:dyDescent="0.25">
      <c r="A694" s="33"/>
      <c r="B694" s="33"/>
      <c r="C694" s="33"/>
      <c r="D694" s="33"/>
    </row>
    <row r="695" spans="1:4" ht="15.75" customHeight="1" x14ac:dyDescent="0.25">
      <c r="A695" s="33"/>
      <c r="B695" s="33"/>
      <c r="C695" s="33"/>
      <c r="D695" s="33"/>
    </row>
    <row r="696" spans="1:4" ht="15.75" customHeight="1" x14ac:dyDescent="0.25">
      <c r="A696" s="33"/>
      <c r="B696" s="33"/>
      <c r="C696" s="33"/>
      <c r="D696" s="33"/>
    </row>
    <row r="697" spans="1:4" ht="15.75" customHeight="1" x14ac:dyDescent="0.25">
      <c r="A697" s="33"/>
      <c r="B697" s="33"/>
      <c r="C697" s="33"/>
      <c r="D697" s="33"/>
    </row>
    <row r="698" spans="1:4" ht="15.75" customHeight="1" x14ac:dyDescent="0.25">
      <c r="A698" s="33"/>
      <c r="B698" s="33"/>
      <c r="C698" s="33"/>
      <c r="D698" s="33"/>
    </row>
    <row r="699" spans="1:4" ht="15.75" customHeight="1" x14ac:dyDescent="0.25">
      <c r="A699" s="33"/>
      <c r="B699" s="33"/>
      <c r="C699" s="33"/>
      <c r="D699" s="33"/>
    </row>
    <row r="700" spans="1:4" ht="15.75" customHeight="1" x14ac:dyDescent="0.25">
      <c r="A700" s="33"/>
      <c r="B700" s="33"/>
      <c r="C700" s="33"/>
      <c r="D700" s="33"/>
    </row>
    <row r="701" spans="1:4" ht="15.75" customHeight="1" x14ac:dyDescent="0.25">
      <c r="A701" s="33"/>
      <c r="B701" s="33"/>
      <c r="C701" s="33"/>
      <c r="D701" s="33"/>
    </row>
    <row r="702" spans="1:4" ht="15.75" customHeight="1" x14ac:dyDescent="0.25">
      <c r="A702" s="33"/>
      <c r="B702" s="33"/>
      <c r="C702" s="33"/>
      <c r="D702" s="33"/>
    </row>
    <row r="703" spans="1:4" ht="15.75" customHeight="1" x14ac:dyDescent="0.25">
      <c r="A703" s="33"/>
      <c r="B703" s="33"/>
      <c r="C703" s="33"/>
      <c r="D703" s="33"/>
    </row>
    <row r="704" spans="1:4" ht="15.75" customHeight="1" x14ac:dyDescent="0.25">
      <c r="A704" s="33"/>
      <c r="B704" s="33"/>
      <c r="C704" s="33"/>
      <c r="D704" s="33"/>
    </row>
    <row r="705" spans="1:4" ht="15.75" customHeight="1" x14ac:dyDescent="0.25">
      <c r="A705" s="33"/>
      <c r="B705" s="33"/>
      <c r="C705" s="33"/>
      <c r="D705" s="33"/>
    </row>
    <row r="706" spans="1:4" ht="15.75" customHeight="1" x14ac:dyDescent="0.25">
      <c r="A706" s="33"/>
      <c r="B706" s="33"/>
      <c r="C706" s="33"/>
      <c r="D706" s="33"/>
    </row>
    <row r="707" spans="1:4" ht="15.75" customHeight="1" x14ac:dyDescent="0.25">
      <c r="A707" s="33"/>
      <c r="B707" s="33"/>
      <c r="C707" s="33"/>
      <c r="D707" s="33"/>
    </row>
    <row r="708" spans="1:4" ht="15.75" customHeight="1" x14ac:dyDescent="0.25">
      <c r="A708" s="33"/>
      <c r="B708" s="33"/>
      <c r="C708" s="33"/>
      <c r="D708" s="33"/>
    </row>
    <row r="709" spans="1:4" ht="15.75" customHeight="1" x14ac:dyDescent="0.25">
      <c r="A709" s="33"/>
      <c r="B709" s="33"/>
      <c r="C709" s="33"/>
      <c r="D709" s="33"/>
    </row>
    <row r="710" spans="1:4" ht="15.75" customHeight="1" x14ac:dyDescent="0.25">
      <c r="A710" s="33"/>
      <c r="B710" s="33"/>
      <c r="C710" s="33"/>
      <c r="D710" s="33"/>
    </row>
    <row r="711" spans="1:4" ht="15.75" customHeight="1" x14ac:dyDescent="0.25">
      <c r="A711" s="33"/>
      <c r="B711" s="33"/>
      <c r="C711" s="33"/>
      <c r="D711" s="33"/>
    </row>
    <row r="712" spans="1:4" ht="15.75" customHeight="1" x14ac:dyDescent="0.25">
      <c r="A712" s="33"/>
      <c r="B712" s="33"/>
      <c r="C712" s="33"/>
      <c r="D712" s="33"/>
    </row>
    <row r="713" spans="1:4" ht="15.75" customHeight="1" x14ac:dyDescent="0.25">
      <c r="A713" s="33"/>
      <c r="B713" s="33"/>
      <c r="C713" s="33"/>
      <c r="D713" s="33"/>
    </row>
    <row r="714" spans="1:4" ht="15.75" customHeight="1" x14ac:dyDescent="0.25">
      <c r="A714" s="33"/>
      <c r="B714" s="33"/>
      <c r="C714" s="33"/>
      <c r="D714" s="33"/>
    </row>
    <row r="715" spans="1:4" ht="15.75" customHeight="1" x14ac:dyDescent="0.25">
      <c r="A715" s="33"/>
      <c r="B715" s="33"/>
      <c r="C715" s="33"/>
      <c r="D715" s="33"/>
    </row>
    <row r="716" spans="1:4" ht="15.75" customHeight="1" x14ac:dyDescent="0.25">
      <c r="A716" s="33"/>
      <c r="B716" s="33"/>
      <c r="C716" s="33"/>
      <c r="D716" s="33"/>
    </row>
    <row r="717" spans="1:4" ht="15.75" customHeight="1" x14ac:dyDescent="0.25">
      <c r="A717" s="33"/>
      <c r="B717" s="33"/>
      <c r="C717" s="33"/>
      <c r="D717" s="33"/>
    </row>
    <row r="718" spans="1:4" ht="15.75" customHeight="1" x14ac:dyDescent="0.25">
      <c r="A718" s="33"/>
      <c r="B718" s="33"/>
      <c r="C718" s="33"/>
      <c r="D718" s="33"/>
    </row>
    <row r="719" spans="1:4" ht="15.75" customHeight="1" x14ac:dyDescent="0.25">
      <c r="A719" s="33"/>
      <c r="B719" s="33"/>
      <c r="C719" s="33"/>
      <c r="D719" s="33"/>
    </row>
    <row r="720" spans="1:4" ht="15.75" customHeight="1" x14ac:dyDescent="0.25">
      <c r="A720" s="33"/>
      <c r="B720" s="33"/>
      <c r="C720" s="33"/>
      <c r="D720" s="33"/>
    </row>
    <row r="721" spans="1:4" ht="15.75" customHeight="1" x14ac:dyDescent="0.25">
      <c r="A721" s="33"/>
      <c r="B721" s="33"/>
      <c r="C721" s="33"/>
      <c r="D721" s="33"/>
    </row>
    <row r="722" spans="1:4" ht="15.75" customHeight="1" x14ac:dyDescent="0.25">
      <c r="A722" s="33"/>
      <c r="B722" s="33"/>
      <c r="C722" s="33"/>
      <c r="D722" s="33"/>
    </row>
    <row r="723" spans="1:4" ht="15.75" customHeight="1" x14ac:dyDescent="0.25">
      <c r="A723" s="33"/>
      <c r="B723" s="33"/>
      <c r="C723" s="33"/>
      <c r="D723" s="33"/>
    </row>
    <row r="724" spans="1:4" ht="15.75" customHeight="1" x14ac:dyDescent="0.25">
      <c r="A724" s="33"/>
      <c r="B724" s="33"/>
      <c r="C724" s="33"/>
      <c r="D724" s="33"/>
    </row>
    <row r="725" spans="1:4" ht="15.75" customHeight="1" x14ac:dyDescent="0.25">
      <c r="A725" s="33"/>
      <c r="B725" s="33"/>
      <c r="C725" s="33"/>
      <c r="D725" s="33"/>
    </row>
    <row r="726" spans="1:4" ht="15.75" customHeight="1" x14ac:dyDescent="0.25">
      <c r="A726" s="33"/>
      <c r="B726" s="33"/>
      <c r="C726" s="33"/>
      <c r="D726" s="33"/>
    </row>
    <row r="727" spans="1:4" ht="15.75" customHeight="1" x14ac:dyDescent="0.25">
      <c r="A727" s="33"/>
      <c r="B727" s="33"/>
      <c r="C727" s="33"/>
      <c r="D727" s="33"/>
    </row>
    <row r="728" spans="1:4" ht="15.75" customHeight="1" x14ac:dyDescent="0.25">
      <c r="A728" s="33"/>
      <c r="B728" s="33"/>
      <c r="C728" s="33"/>
      <c r="D728" s="33"/>
    </row>
    <row r="729" spans="1:4" ht="15.75" customHeight="1" x14ac:dyDescent="0.25">
      <c r="A729" s="33"/>
      <c r="B729" s="33"/>
      <c r="C729" s="33"/>
      <c r="D729" s="33"/>
    </row>
    <row r="730" spans="1:4" ht="15.75" customHeight="1" x14ac:dyDescent="0.25">
      <c r="A730" s="33"/>
      <c r="B730" s="33"/>
      <c r="C730" s="33"/>
      <c r="D730" s="33"/>
    </row>
    <row r="731" spans="1:4" ht="15.75" customHeight="1" x14ac:dyDescent="0.25">
      <c r="A731" s="33"/>
      <c r="B731" s="33"/>
      <c r="C731" s="33"/>
      <c r="D731" s="33"/>
    </row>
    <row r="732" spans="1:4" ht="15.75" customHeight="1" x14ac:dyDescent="0.25">
      <c r="A732" s="33"/>
      <c r="B732" s="33"/>
      <c r="C732" s="33"/>
      <c r="D732" s="33"/>
    </row>
    <row r="733" spans="1:4" ht="15.75" customHeight="1" x14ac:dyDescent="0.25">
      <c r="A733" s="33"/>
      <c r="B733" s="33"/>
      <c r="C733" s="33"/>
      <c r="D733" s="33"/>
    </row>
    <row r="734" spans="1:4" ht="15.75" customHeight="1" x14ac:dyDescent="0.25">
      <c r="A734" s="33"/>
      <c r="B734" s="33"/>
      <c r="C734" s="33"/>
      <c r="D734" s="33"/>
    </row>
    <row r="735" spans="1:4" ht="15.75" customHeight="1" x14ac:dyDescent="0.25">
      <c r="A735" s="33"/>
      <c r="B735" s="33"/>
      <c r="C735" s="33"/>
      <c r="D735" s="33"/>
    </row>
    <row r="736" spans="1:4" ht="15.75" customHeight="1" x14ac:dyDescent="0.25">
      <c r="A736" s="33"/>
      <c r="B736" s="33"/>
      <c r="C736" s="33"/>
      <c r="D736" s="33"/>
    </row>
    <row r="737" spans="1:4" ht="15.75" customHeight="1" x14ac:dyDescent="0.25">
      <c r="A737" s="33"/>
      <c r="B737" s="33"/>
      <c r="C737" s="33"/>
      <c r="D737" s="33"/>
    </row>
    <row r="738" spans="1:4" ht="15.75" customHeight="1" x14ac:dyDescent="0.25">
      <c r="A738" s="33"/>
      <c r="B738" s="33"/>
      <c r="C738" s="33"/>
      <c r="D738" s="33"/>
    </row>
    <row r="739" spans="1:4" ht="15.75" customHeight="1" x14ac:dyDescent="0.25">
      <c r="A739" s="33"/>
      <c r="B739" s="33"/>
      <c r="C739" s="33"/>
      <c r="D739" s="33"/>
    </row>
    <row r="740" spans="1:4" ht="15.75" customHeight="1" x14ac:dyDescent="0.25">
      <c r="A740" s="33"/>
      <c r="B740" s="33"/>
      <c r="C740" s="33"/>
      <c r="D740" s="33"/>
    </row>
    <row r="741" spans="1:4" ht="15.75" customHeight="1" x14ac:dyDescent="0.25">
      <c r="A741" s="33"/>
      <c r="B741" s="33"/>
      <c r="C741" s="33"/>
      <c r="D741" s="33"/>
    </row>
    <row r="742" spans="1:4" ht="15.75" customHeight="1" x14ac:dyDescent="0.25">
      <c r="A742" s="33"/>
      <c r="B742" s="33"/>
      <c r="C742" s="33"/>
      <c r="D742" s="33"/>
    </row>
    <row r="743" spans="1:4" ht="15.75" customHeight="1" x14ac:dyDescent="0.25">
      <c r="A743" s="33"/>
      <c r="B743" s="33"/>
      <c r="C743" s="33"/>
      <c r="D743" s="33"/>
    </row>
    <row r="744" spans="1:4" ht="15.75" customHeight="1" x14ac:dyDescent="0.25">
      <c r="A744" s="33"/>
      <c r="B744" s="33"/>
      <c r="C744" s="33"/>
      <c r="D744" s="33"/>
    </row>
    <row r="745" spans="1:4" ht="15.75" customHeight="1" x14ac:dyDescent="0.25">
      <c r="A745" s="33"/>
      <c r="B745" s="33"/>
      <c r="C745" s="33"/>
      <c r="D745" s="33"/>
    </row>
    <row r="746" spans="1:4" ht="15.75" customHeight="1" x14ac:dyDescent="0.25">
      <c r="A746" s="33"/>
      <c r="B746" s="33"/>
      <c r="C746" s="33"/>
      <c r="D746" s="33"/>
    </row>
    <row r="747" spans="1:4" ht="15.75" customHeight="1" x14ac:dyDescent="0.25">
      <c r="A747" s="33"/>
      <c r="B747" s="33"/>
      <c r="C747" s="33"/>
      <c r="D747" s="33"/>
    </row>
    <row r="748" spans="1:4" ht="15.75" customHeight="1" x14ac:dyDescent="0.25">
      <c r="A748" s="33"/>
      <c r="B748" s="33"/>
      <c r="C748" s="33"/>
      <c r="D748" s="33"/>
    </row>
    <row r="749" spans="1:4" ht="15.75" customHeight="1" x14ac:dyDescent="0.25">
      <c r="A749" s="33"/>
      <c r="B749" s="33"/>
      <c r="C749" s="33"/>
      <c r="D749" s="33"/>
    </row>
    <row r="750" spans="1:4" ht="15.75" customHeight="1" x14ac:dyDescent="0.25">
      <c r="A750" s="33"/>
      <c r="B750" s="33"/>
      <c r="C750" s="33"/>
      <c r="D750" s="33"/>
    </row>
    <row r="751" spans="1:4" ht="15.75" customHeight="1" x14ac:dyDescent="0.25">
      <c r="A751" s="33"/>
      <c r="B751" s="33"/>
      <c r="C751" s="33"/>
      <c r="D751" s="33"/>
    </row>
    <row r="752" spans="1:4" ht="15.75" customHeight="1" x14ac:dyDescent="0.25">
      <c r="A752" s="33"/>
      <c r="B752" s="33"/>
      <c r="C752" s="33"/>
      <c r="D752" s="33"/>
    </row>
    <row r="753" spans="1:4" ht="15.75" customHeight="1" x14ac:dyDescent="0.25">
      <c r="A753" s="33"/>
      <c r="B753" s="33"/>
      <c r="C753" s="33"/>
      <c r="D753" s="33"/>
    </row>
    <row r="754" spans="1:4" ht="15.75" customHeight="1" x14ac:dyDescent="0.25">
      <c r="A754" s="33"/>
      <c r="B754" s="33"/>
      <c r="C754" s="33"/>
      <c r="D754" s="33"/>
    </row>
    <row r="755" spans="1:4" ht="15.75" customHeight="1" x14ac:dyDescent="0.25">
      <c r="A755" s="33"/>
      <c r="B755" s="33"/>
      <c r="C755" s="33"/>
      <c r="D755" s="33"/>
    </row>
    <row r="756" spans="1:4" ht="15.75" customHeight="1" x14ac:dyDescent="0.25">
      <c r="A756" s="33"/>
      <c r="B756" s="33"/>
      <c r="C756" s="33"/>
      <c r="D756" s="33"/>
    </row>
    <row r="757" spans="1:4" ht="15.75" customHeight="1" x14ac:dyDescent="0.25">
      <c r="A757" s="33"/>
      <c r="B757" s="33"/>
      <c r="C757" s="33"/>
      <c r="D757" s="33"/>
    </row>
    <row r="758" spans="1:4" ht="15.75" customHeight="1" x14ac:dyDescent="0.25">
      <c r="A758" s="33"/>
      <c r="B758" s="33"/>
      <c r="C758" s="33"/>
      <c r="D758" s="33"/>
    </row>
    <row r="759" spans="1:4" ht="15.75" customHeight="1" x14ac:dyDescent="0.25">
      <c r="A759" s="33"/>
      <c r="B759" s="33"/>
      <c r="C759" s="33"/>
      <c r="D759" s="33"/>
    </row>
    <row r="760" spans="1:4" ht="15.75" customHeight="1" x14ac:dyDescent="0.25">
      <c r="A760" s="33"/>
      <c r="B760" s="33"/>
      <c r="C760" s="33"/>
      <c r="D760" s="33"/>
    </row>
    <row r="761" spans="1:4" ht="15.75" customHeight="1" x14ac:dyDescent="0.25">
      <c r="A761" s="33"/>
      <c r="B761" s="33"/>
      <c r="C761" s="33"/>
      <c r="D761" s="33"/>
    </row>
    <row r="762" spans="1:4" ht="15.75" customHeight="1" x14ac:dyDescent="0.25">
      <c r="A762" s="33"/>
      <c r="B762" s="33"/>
      <c r="C762" s="33"/>
      <c r="D762" s="33"/>
    </row>
    <row r="763" spans="1:4" ht="15.75" customHeight="1" x14ac:dyDescent="0.25">
      <c r="A763" s="33"/>
      <c r="B763" s="33"/>
      <c r="C763" s="33"/>
      <c r="D763" s="33"/>
    </row>
    <row r="764" spans="1:4" ht="15.75" customHeight="1" x14ac:dyDescent="0.25">
      <c r="A764" s="33"/>
      <c r="B764" s="33"/>
      <c r="C764" s="33"/>
      <c r="D764" s="33"/>
    </row>
    <row r="765" spans="1:4" ht="15.75" customHeight="1" x14ac:dyDescent="0.25">
      <c r="A765" s="33"/>
      <c r="B765" s="33"/>
      <c r="C765" s="33"/>
      <c r="D765" s="33"/>
    </row>
    <row r="766" spans="1:4" ht="15.75" customHeight="1" x14ac:dyDescent="0.25">
      <c r="A766" s="33"/>
      <c r="B766" s="33"/>
      <c r="C766" s="33"/>
      <c r="D766" s="33"/>
    </row>
    <row r="767" spans="1:4" ht="15.75" customHeight="1" x14ac:dyDescent="0.25">
      <c r="A767" s="33"/>
      <c r="B767" s="33"/>
      <c r="C767" s="33"/>
      <c r="D767" s="33"/>
    </row>
    <row r="768" spans="1:4" ht="15.75" customHeight="1" x14ac:dyDescent="0.25">
      <c r="A768" s="33"/>
      <c r="B768" s="33"/>
      <c r="C768" s="33"/>
      <c r="D768" s="33"/>
    </row>
    <row r="769" spans="1:4" ht="15.75" customHeight="1" x14ac:dyDescent="0.25">
      <c r="A769" s="33"/>
      <c r="B769" s="33"/>
      <c r="C769" s="33"/>
      <c r="D769" s="33"/>
    </row>
    <row r="770" spans="1:4" ht="15.75" customHeight="1" x14ac:dyDescent="0.25">
      <c r="A770" s="33"/>
      <c r="B770" s="33"/>
      <c r="C770" s="33"/>
      <c r="D770" s="33"/>
    </row>
    <row r="771" spans="1:4" ht="15.75" customHeight="1" x14ac:dyDescent="0.25">
      <c r="A771" s="33"/>
      <c r="B771" s="33"/>
      <c r="C771" s="33"/>
      <c r="D771" s="33"/>
    </row>
    <row r="772" spans="1:4" ht="15.75" customHeight="1" x14ac:dyDescent="0.25">
      <c r="A772" s="33"/>
      <c r="B772" s="33"/>
      <c r="C772" s="33"/>
      <c r="D772" s="33"/>
    </row>
    <row r="773" spans="1:4" ht="15.75" customHeight="1" x14ac:dyDescent="0.25">
      <c r="A773" s="33"/>
      <c r="B773" s="33"/>
      <c r="C773" s="33"/>
      <c r="D773" s="33"/>
    </row>
    <row r="774" spans="1:4" ht="15.75" customHeight="1" x14ac:dyDescent="0.25">
      <c r="A774" s="33"/>
      <c r="B774" s="33"/>
      <c r="C774" s="33"/>
      <c r="D774" s="33"/>
    </row>
    <row r="775" spans="1:4" ht="15.75" customHeight="1" x14ac:dyDescent="0.25">
      <c r="A775" s="33"/>
      <c r="B775" s="33"/>
      <c r="C775" s="33"/>
      <c r="D775" s="33"/>
    </row>
    <row r="776" spans="1:4" ht="15.75" customHeight="1" x14ac:dyDescent="0.25">
      <c r="A776" s="33"/>
      <c r="B776" s="33"/>
      <c r="C776" s="33"/>
      <c r="D776" s="33"/>
    </row>
    <row r="777" spans="1:4" ht="15.75" customHeight="1" x14ac:dyDescent="0.25">
      <c r="A777" s="33"/>
      <c r="B777" s="33"/>
      <c r="C777" s="33"/>
      <c r="D777" s="33"/>
    </row>
    <row r="778" spans="1:4" ht="15.75" customHeight="1" x14ac:dyDescent="0.25">
      <c r="A778" s="33"/>
      <c r="B778" s="33"/>
      <c r="C778" s="33"/>
      <c r="D778" s="33"/>
    </row>
    <row r="779" spans="1:4" ht="15.75" customHeight="1" x14ac:dyDescent="0.25">
      <c r="A779" s="33"/>
      <c r="B779" s="33"/>
      <c r="C779" s="33"/>
      <c r="D779" s="33"/>
    </row>
    <row r="780" spans="1:4" ht="15.75" customHeight="1" x14ac:dyDescent="0.25">
      <c r="A780" s="33"/>
      <c r="B780" s="33"/>
      <c r="C780" s="33"/>
      <c r="D780" s="33"/>
    </row>
    <row r="781" spans="1:4" ht="15.75" customHeight="1" x14ac:dyDescent="0.25">
      <c r="A781" s="33"/>
      <c r="B781" s="33"/>
      <c r="C781" s="33"/>
      <c r="D781" s="33"/>
    </row>
    <row r="782" spans="1:4" ht="15.75" customHeight="1" x14ac:dyDescent="0.25">
      <c r="A782" s="33"/>
      <c r="B782" s="33"/>
      <c r="C782" s="33"/>
      <c r="D782" s="33"/>
    </row>
    <row r="783" spans="1:4" ht="15.75" customHeight="1" x14ac:dyDescent="0.25">
      <c r="A783" s="33"/>
      <c r="B783" s="33"/>
      <c r="C783" s="33"/>
      <c r="D783" s="33"/>
    </row>
    <row r="784" spans="1:4" ht="15.75" customHeight="1" x14ac:dyDescent="0.25">
      <c r="A784" s="33"/>
      <c r="B784" s="33"/>
      <c r="C784" s="33"/>
      <c r="D784" s="33"/>
    </row>
    <row r="785" spans="1:4" ht="15.75" customHeight="1" x14ac:dyDescent="0.25">
      <c r="A785" s="33"/>
      <c r="B785" s="33"/>
      <c r="C785" s="33"/>
      <c r="D785" s="33"/>
    </row>
    <row r="786" spans="1:4" ht="15.75" customHeight="1" x14ac:dyDescent="0.25">
      <c r="A786" s="33"/>
      <c r="B786" s="33"/>
      <c r="C786" s="33"/>
      <c r="D786" s="33"/>
    </row>
    <row r="787" spans="1:4" ht="15.75" customHeight="1" x14ac:dyDescent="0.25">
      <c r="A787" s="33"/>
      <c r="B787" s="33"/>
      <c r="C787" s="33"/>
      <c r="D787" s="33"/>
    </row>
    <row r="788" spans="1:4" ht="15.75" customHeight="1" x14ac:dyDescent="0.25">
      <c r="A788" s="33"/>
      <c r="B788" s="33"/>
      <c r="C788" s="33"/>
      <c r="D788" s="33"/>
    </row>
    <row r="789" spans="1:4" ht="15.75" customHeight="1" x14ac:dyDescent="0.25">
      <c r="A789" s="33"/>
      <c r="B789" s="33"/>
      <c r="C789" s="33"/>
      <c r="D789" s="33"/>
    </row>
    <row r="790" spans="1:4" ht="15.75" customHeight="1" x14ac:dyDescent="0.25">
      <c r="A790" s="33"/>
      <c r="B790" s="33"/>
      <c r="C790" s="33"/>
      <c r="D790" s="33"/>
    </row>
    <row r="791" spans="1:4" ht="15.75" customHeight="1" x14ac:dyDescent="0.25">
      <c r="A791" s="33"/>
      <c r="B791" s="33"/>
      <c r="C791" s="33"/>
      <c r="D791" s="33"/>
    </row>
    <row r="792" spans="1:4" ht="15.75" customHeight="1" x14ac:dyDescent="0.25">
      <c r="A792" s="33"/>
      <c r="B792" s="33"/>
      <c r="C792" s="33"/>
      <c r="D792" s="33"/>
    </row>
    <row r="793" spans="1:4" ht="15.75" customHeight="1" x14ac:dyDescent="0.25">
      <c r="A793" s="33"/>
      <c r="B793" s="33"/>
      <c r="C793" s="33"/>
      <c r="D793" s="33"/>
    </row>
    <row r="794" spans="1:4" ht="15.75" customHeight="1" x14ac:dyDescent="0.25">
      <c r="A794" s="33"/>
      <c r="B794" s="33"/>
      <c r="C794" s="33"/>
      <c r="D794" s="33"/>
    </row>
    <row r="795" spans="1:4" ht="15.75" customHeight="1" x14ac:dyDescent="0.25">
      <c r="A795" s="33"/>
      <c r="B795" s="33"/>
      <c r="C795" s="33"/>
      <c r="D795" s="33"/>
    </row>
    <row r="796" spans="1:4" ht="15.75" customHeight="1" x14ac:dyDescent="0.25">
      <c r="A796" s="33"/>
      <c r="B796" s="33"/>
      <c r="C796" s="33"/>
      <c r="D796" s="33"/>
    </row>
    <row r="797" spans="1:4" ht="15.75" customHeight="1" x14ac:dyDescent="0.25">
      <c r="A797" s="33"/>
      <c r="B797" s="33"/>
      <c r="C797" s="33"/>
      <c r="D797" s="33"/>
    </row>
    <row r="798" spans="1:4" ht="15.75" customHeight="1" x14ac:dyDescent="0.25">
      <c r="A798" s="33"/>
      <c r="B798" s="33"/>
      <c r="C798" s="33"/>
      <c r="D798" s="33"/>
    </row>
    <row r="799" spans="1:4" ht="15.75" customHeight="1" x14ac:dyDescent="0.25">
      <c r="A799" s="33"/>
      <c r="B799" s="33"/>
      <c r="C799" s="33"/>
      <c r="D799" s="33"/>
    </row>
    <row r="800" spans="1:4" ht="15.75" customHeight="1" x14ac:dyDescent="0.25">
      <c r="A800" s="33"/>
      <c r="B800" s="33"/>
      <c r="C800" s="33"/>
      <c r="D800" s="33"/>
    </row>
    <row r="801" spans="1:4" ht="15.75" customHeight="1" x14ac:dyDescent="0.25">
      <c r="A801" s="33"/>
      <c r="B801" s="33"/>
      <c r="C801" s="33"/>
      <c r="D801" s="33"/>
    </row>
    <row r="802" spans="1:4" ht="15.75" customHeight="1" x14ac:dyDescent="0.25">
      <c r="A802" s="33"/>
      <c r="B802" s="33"/>
      <c r="C802" s="33"/>
      <c r="D802" s="33"/>
    </row>
    <row r="803" spans="1:4" ht="15.75" customHeight="1" x14ac:dyDescent="0.25">
      <c r="A803" s="33"/>
      <c r="B803" s="33"/>
      <c r="C803" s="33"/>
      <c r="D803" s="33"/>
    </row>
    <row r="804" spans="1:4" ht="15.75" customHeight="1" x14ac:dyDescent="0.25">
      <c r="A804" s="33"/>
      <c r="B804" s="33"/>
      <c r="C804" s="33"/>
      <c r="D804" s="33"/>
    </row>
    <row r="805" spans="1:4" ht="15.75" customHeight="1" x14ac:dyDescent="0.25">
      <c r="A805" s="33"/>
      <c r="B805" s="33"/>
      <c r="C805" s="33"/>
      <c r="D805" s="33"/>
    </row>
    <row r="806" spans="1:4" ht="15.75" customHeight="1" x14ac:dyDescent="0.25">
      <c r="A806" s="33"/>
      <c r="B806" s="33"/>
      <c r="C806" s="33"/>
      <c r="D806" s="33"/>
    </row>
    <row r="807" spans="1:4" ht="15.75" customHeight="1" x14ac:dyDescent="0.25">
      <c r="A807" s="33"/>
      <c r="B807" s="33"/>
      <c r="C807" s="33"/>
      <c r="D807" s="33"/>
    </row>
    <row r="808" spans="1:4" ht="15.75" customHeight="1" x14ac:dyDescent="0.25">
      <c r="A808" s="33"/>
      <c r="B808" s="33"/>
      <c r="C808" s="33"/>
      <c r="D808" s="33"/>
    </row>
    <row r="809" spans="1:4" ht="15.75" customHeight="1" x14ac:dyDescent="0.25">
      <c r="A809" s="33"/>
      <c r="B809" s="33"/>
      <c r="C809" s="33"/>
      <c r="D809" s="33"/>
    </row>
    <row r="810" spans="1:4" ht="15.75" customHeight="1" x14ac:dyDescent="0.25">
      <c r="A810" s="33"/>
      <c r="B810" s="33"/>
      <c r="C810" s="33"/>
      <c r="D810" s="33"/>
    </row>
    <row r="811" spans="1:4" ht="15.75" customHeight="1" x14ac:dyDescent="0.25">
      <c r="A811" s="33"/>
      <c r="B811" s="33"/>
      <c r="C811" s="33"/>
      <c r="D811" s="33"/>
    </row>
    <row r="812" spans="1:4" ht="15.75" customHeight="1" x14ac:dyDescent="0.25">
      <c r="A812" s="33"/>
      <c r="B812" s="33"/>
      <c r="C812" s="33"/>
      <c r="D812" s="33"/>
    </row>
    <row r="813" spans="1:4" ht="15.75" customHeight="1" x14ac:dyDescent="0.25">
      <c r="A813" s="33"/>
      <c r="B813" s="33"/>
      <c r="C813" s="33"/>
      <c r="D813" s="33"/>
    </row>
    <row r="814" spans="1:4" ht="15.75" customHeight="1" x14ac:dyDescent="0.25">
      <c r="A814" s="33"/>
      <c r="B814" s="33"/>
      <c r="C814" s="33"/>
      <c r="D814" s="33"/>
    </row>
    <row r="815" spans="1:4" ht="15.75" customHeight="1" x14ac:dyDescent="0.25">
      <c r="A815" s="33"/>
      <c r="B815" s="33"/>
      <c r="C815" s="33"/>
      <c r="D815" s="33"/>
    </row>
    <row r="816" spans="1:4" ht="15.75" customHeight="1" x14ac:dyDescent="0.25">
      <c r="A816" s="33"/>
      <c r="B816" s="33"/>
      <c r="C816" s="33"/>
      <c r="D816" s="33"/>
    </row>
    <row r="817" spans="1:4" ht="15.75" customHeight="1" x14ac:dyDescent="0.25">
      <c r="A817" s="33"/>
      <c r="B817" s="33"/>
      <c r="C817" s="33"/>
      <c r="D817" s="33"/>
    </row>
    <row r="818" spans="1:4" ht="15.75" customHeight="1" x14ac:dyDescent="0.25">
      <c r="A818" s="33"/>
      <c r="B818" s="33"/>
      <c r="C818" s="33"/>
      <c r="D818" s="33"/>
    </row>
    <row r="819" spans="1:4" ht="15.75" customHeight="1" x14ac:dyDescent="0.25">
      <c r="A819" s="33"/>
      <c r="B819" s="33"/>
      <c r="C819" s="33"/>
      <c r="D819" s="33"/>
    </row>
    <row r="820" spans="1:4" ht="15.75" customHeight="1" x14ac:dyDescent="0.25">
      <c r="A820" s="33"/>
      <c r="B820" s="33"/>
      <c r="C820" s="33"/>
      <c r="D820" s="33"/>
    </row>
    <row r="821" spans="1:4" ht="15.75" customHeight="1" x14ac:dyDescent="0.25">
      <c r="A821" s="33"/>
      <c r="B821" s="33"/>
      <c r="C821" s="33"/>
      <c r="D821" s="33"/>
    </row>
    <row r="822" spans="1:4" ht="15.75" customHeight="1" x14ac:dyDescent="0.25">
      <c r="A822" s="33"/>
      <c r="B822" s="33"/>
      <c r="C822" s="33"/>
      <c r="D822" s="33"/>
    </row>
    <row r="823" spans="1:4" ht="15.75" customHeight="1" x14ac:dyDescent="0.25">
      <c r="A823" s="33"/>
      <c r="B823" s="33"/>
      <c r="C823" s="33"/>
      <c r="D823" s="33"/>
    </row>
    <row r="824" spans="1:4" ht="15.75" customHeight="1" x14ac:dyDescent="0.25">
      <c r="A824" s="33"/>
      <c r="B824" s="33"/>
      <c r="C824" s="33"/>
      <c r="D824" s="33"/>
    </row>
    <row r="825" spans="1:4" ht="15.75" customHeight="1" x14ac:dyDescent="0.25">
      <c r="A825" s="33"/>
      <c r="B825" s="33"/>
      <c r="C825" s="33"/>
      <c r="D825" s="33"/>
    </row>
    <row r="826" spans="1:4" ht="15.75" customHeight="1" x14ac:dyDescent="0.25">
      <c r="A826" s="33"/>
      <c r="B826" s="33"/>
      <c r="C826" s="33"/>
      <c r="D826" s="33"/>
    </row>
    <row r="827" spans="1:4" ht="15.75" customHeight="1" x14ac:dyDescent="0.25">
      <c r="A827" s="33"/>
      <c r="B827" s="33"/>
      <c r="C827" s="33"/>
      <c r="D827" s="33"/>
    </row>
    <row r="828" spans="1:4" ht="15.75" customHeight="1" x14ac:dyDescent="0.25">
      <c r="A828" s="33"/>
      <c r="B828" s="33"/>
      <c r="C828" s="33"/>
      <c r="D828" s="33"/>
    </row>
    <row r="829" spans="1:4" ht="15.75" customHeight="1" x14ac:dyDescent="0.25">
      <c r="A829" s="33"/>
      <c r="B829" s="33"/>
      <c r="C829" s="33"/>
      <c r="D829" s="33"/>
    </row>
    <row r="830" spans="1:4" ht="15.75" customHeight="1" x14ac:dyDescent="0.25">
      <c r="A830" s="33"/>
      <c r="B830" s="33"/>
      <c r="C830" s="33"/>
      <c r="D830" s="33"/>
    </row>
    <row r="831" spans="1:4" ht="15.75" customHeight="1" x14ac:dyDescent="0.25">
      <c r="A831" s="33"/>
      <c r="B831" s="33"/>
      <c r="C831" s="33"/>
      <c r="D831" s="33"/>
    </row>
    <row r="832" spans="1:4" ht="15.75" customHeight="1" x14ac:dyDescent="0.25">
      <c r="A832" s="33"/>
      <c r="B832" s="33"/>
      <c r="C832" s="33"/>
      <c r="D832" s="33"/>
    </row>
    <row r="833" spans="1:4" ht="15.75" customHeight="1" x14ac:dyDescent="0.25">
      <c r="A833" s="33"/>
      <c r="B833" s="33"/>
      <c r="C833" s="33"/>
      <c r="D833" s="33"/>
    </row>
    <row r="834" spans="1:4" ht="15.75" customHeight="1" x14ac:dyDescent="0.25">
      <c r="A834" s="33"/>
      <c r="B834" s="33"/>
      <c r="C834" s="33"/>
      <c r="D834" s="33"/>
    </row>
    <row r="835" spans="1:4" ht="15.75" customHeight="1" x14ac:dyDescent="0.25">
      <c r="A835" s="33"/>
      <c r="B835" s="33"/>
      <c r="C835" s="33"/>
      <c r="D835" s="33"/>
    </row>
    <row r="836" spans="1:4" ht="15.75" customHeight="1" x14ac:dyDescent="0.25">
      <c r="A836" s="33"/>
      <c r="B836" s="33"/>
      <c r="C836" s="33"/>
      <c r="D836" s="33"/>
    </row>
    <row r="837" spans="1:4" ht="15.75" customHeight="1" x14ac:dyDescent="0.25">
      <c r="A837" s="33"/>
      <c r="B837" s="33"/>
      <c r="C837" s="33"/>
      <c r="D837" s="33"/>
    </row>
    <row r="838" spans="1:4" ht="15.75" customHeight="1" x14ac:dyDescent="0.25">
      <c r="A838" s="33"/>
      <c r="B838" s="33"/>
      <c r="C838" s="33"/>
      <c r="D838" s="33"/>
    </row>
    <row r="839" spans="1:4" ht="15.75" customHeight="1" x14ac:dyDescent="0.25">
      <c r="A839" s="33"/>
      <c r="B839" s="33"/>
      <c r="C839" s="33"/>
      <c r="D839" s="33"/>
    </row>
    <row r="840" spans="1:4" ht="15.75" customHeight="1" x14ac:dyDescent="0.25">
      <c r="A840" s="33"/>
      <c r="B840" s="33"/>
      <c r="C840" s="33"/>
      <c r="D840" s="33"/>
    </row>
    <row r="841" spans="1:4" ht="15.75" customHeight="1" x14ac:dyDescent="0.25">
      <c r="A841" s="33"/>
      <c r="B841" s="33"/>
      <c r="C841" s="33"/>
      <c r="D841" s="33"/>
    </row>
    <row r="842" spans="1:4" ht="15.75" customHeight="1" x14ac:dyDescent="0.25">
      <c r="A842" s="33"/>
      <c r="B842" s="33"/>
      <c r="C842" s="33"/>
      <c r="D842" s="33"/>
    </row>
    <row r="843" spans="1:4" ht="15.75" customHeight="1" x14ac:dyDescent="0.25">
      <c r="A843" s="33"/>
      <c r="B843" s="33"/>
      <c r="C843" s="33"/>
      <c r="D843" s="33"/>
    </row>
    <row r="844" spans="1:4" ht="15.75" customHeight="1" x14ac:dyDescent="0.25">
      <c r="A844" s="33"/>
      <c r="B844" s="33"/>
      <c r="C844" s="33"/>
      <c r="D844" s="33"/>
    </row>
    <row r="845" spans="1:4" ht="15.75" customHeight="1" x14ac:dyDescent="0.25">
      <c r="A845" s="33"/>
      <c r="B845" s="33"/>
      <c r="C845" s="33"/>
      <c r="D845" s="33"/>
    </row>
    <row r="846" spans="1:4" ht="15.75" customHeight="1" x14ac:dyDescent="0.25">
      <c r="A846" s="33"/>
      <c r="B846" s="33"/>
      <c r="C846" s="33"/>
      <c r="D846" s="33"/>
    </row>
    <row r="847" spans="1:4" ht="15.75" customHeight="1" x14ac:dyDescent="0.25">
      <c r="A847" s="33"/>
      <c r="B847" s="33"/>
      <c r="C847" s="33"/>
      <c r="D847" s="33"/>
    </row>
    <row r="848" spans="1:4" ht="15.75" customHeight="1" x14ac:dyDescent="0.25">
      <c r="A848" s="33"/>
      <c r="B848" s="33"/>
      <c r="C848" s="33"/>
      <c r="D848" s="33"/>
    </row>
    <row r="849" spans="1:4" ht="15.75" customHeight="1" x14ac:dyDescent="0.25">
      <c r="A849" s="33"/>
      <c r="B849" s="33"/>
      <c r="C849" s="33"/>
      <c r="D849" s="33"/>
    </row>
    <row r="850" spans="1:4" ht="15.75" customHeight="1" x14ac:dyDescent="0.25">
      <c r="A850" s="33"/>
      <c r="B850" s="33"/>
      <c r="C850" s="33"/>
      <c r="D850" s="33"/>
    </row>
    <row r="851" spans="1:4" ht="15.75" customHeight="1" x14ac:dyDescent="0.25">
      <c r="A851" s="33"/>
      <c r="B851" s="33"/>
      <c r="C851" s="33"/>
      <c r="D851" s="33"/>
    </row>
    <row r="852" spans="1:4" ht="15.75" customHeight="1" x14ac:dyDescent="0.25">
      <c r="A852" s="33"/>
      <c r="B852" s="33"/>
      <c r="C852" s="33"/>
      <c r="D852" s="33"/>
    </row>
    <row r="853" spans="1:4" ht="15.75" customHeight="1" x14ac:dyDescent="0.25">
      <c r="A853" s="33"/>
      <c r="B853" s="33"/>
      <c r="C853" s="33"/>
      <c r="D853" s="33"/>
    </row>
    <row r="854" spans="1:4" ht="15.75" customHeight="1" x14ac:dyDescent="0.25">
      <c r="A854" s="33"/>
      <c r="B854" s="33"/>
      <c r="C854" s="33"/>
      <c r="D854" s="33"/>
    </row>
    <row r="855" spans="1:4" ht="15.75" customHeight="1" x14ac:dyDescent="0.25">
      <c r="A855" s="33"/>
      <c r="B855" s="33"/>
      <c r="C855" s="33"/>
      <c r="D855" s="33"/>
    </row>
    <row r="856" spans="1:4" ht="15.75" customHeight="1" x14ac:dyDescent="0.25">
      <c r="A856" s="33"/>
      <c r="B856" s="33"/>
      <c r="C856" s="33"/>
      <c r="D856" s="33"/>
    </row>
    <row r="857" spans="1:4" ht="15.75" customHeight="1" x14ac:dyDescent="0.25">
      <c r="A857" s="33"/>
      <c r="B857" s="33"/>
      <c r="C857" s="33"/>
      <c r="D857" s="33"/>
    </row>
    <row r="858" spans="1:4" ht="15.75" customHeight="1" x14ac:dyDescent="0.25">
      <c r="A858" s="33"/>
      <c r="B858" s="33"/>
      <c r="C858" s="33"/>
      <c r="D858" s="33"/>
    </row>
    <row r="859" spans="1:4" ht="15.75" customHeight="1" x14ac:dyDescent="0.25">
      <c r="A859" s="33"/>
      <c r="B859" s="33"/>
      <c r="C859" s="33"/>
      <c r="D859" s="33"/>
    </row>
    <row r="860" spans="1:4" ht="15.75" customHeight="1" x14ac:dyDescent="0.25">
      <c r="A860" s="33"/>
      <c r="B860" s="33"/>
      <c r="C860" s="33"/>
      <c r="D860" s="33"/>
    </row>
    <row r="861" spans="1:4" ht="15.75" customHeight="1" x14ac:dyDescent="0.25">
      <c r="A861" s="33"/>
      <c r="B861" s="33"/>
      <c r="C861" s="33"/>
      <c r="D861" s="33"/>
    </row>
    <row r="862" spans="1:4" ht="15.75" customHeight="1" x14ac:dyDescent="0.25">
      <c r="A862" s="33"/>
      <c r="B862" s="33"/>
      <c r="C862" s="33"/>
      <c r="D862" s="33"/>
    </row>
    <row r="863" spans="1:4" ht="15.75" customHeight="1" x14ac:dyDescent="0.25">
      <c r="A863" s="33"/>
      <c r="B863" s="33"/>
      <c r="C863" s="33"/>
      <c r="D863" s="33"/>
    </row>
    <row r="864" spans="1:4" ht="15.75" customHeight="1" x14ac:dyDescent="0.25">
      <c r="A864" s="33"/>
      <c r="B864" s="33"/>
      <c r="C864" s="33"/>
      <c r="D864" s="33"/>
    </row>
    <row r="865" spans="1:4" ht="15.75" customHeight="1" x14ac:dyDescent="0.25">
      <c r="A865" s="33"/>
      <c r="B865" s="33"/>
      <c r="C865" s="33"/>
      <c r="D865" s="33"/>
    </row>
    <row r="866" spans="1:4" ht="15.75" customHeight="1" x14ac:dyDescent="0.25">
      <c r="A866" s="33"/>
      <c r="B866" s="33"/>
      <c r="C866" s="33"/>
      <c r="D866" s="33"/>
    </row>
    <row r="867" spans="1:4" ht="15.75" customHeight="1" x14ac:dyDescent="0.25">
      <c r="A867" s="33"/>
      <c r="B867" s="33"/>
      <c r="C867" s="33"/>
      <c r="D867" s="33"/>
    </row>
    <row r="868" spans="1:4" ht="15.75" customHeight="1" x14ac:dyDescent="0.25">
      <c r="A868" s="33"/>
      <c r="B868" s="33"/>
      <c r="C868" s="33"/>
      <c r="D868" s="33"/>
    </row>
    <row r="869" spans="1:4" ht="15.75" customHeight="1" x14ac:dyDescent="0.25">
      <c r="A869" s="33"/>
      <c r="B869" s="33"/>
      <c r="C869" s="33"/>
      <c r="D869" s="33"/>
    </row>
    <row r="870" spans="1:4" ht="15.75" customHeight="1" x14ac:dyDescent="0.25">
      <c r="A870" s="33"/>
      <c r="B870" s="33"/>
      <c r="C870" s="33"/>
      <c r="D870" s="33"/>
    </row>
    <row r="871" spans="1:4" ht="15.75" customHeight="1" x14ac:dyDescent="0.25">
      <c r="A871" s="33"/>
      <c r="B871" s="33"/>
      <c r="C871" s="33"/>
      <c r="D871" s="33"/>
    </row>
    <row r="872" spans="1:4" ht="15.75" customHeight="1" x14ac:dyDescent="0.25">
      <c r="A872" s="33"/>
      <c r="B872" s="33"/>
      <c r="C872" s="33"/>
      <c r="D872" s="33"/>
    </row>
    <row r="873" spans="1:4" ht="15.75" customHeight="1" x14ac:dyDescent="0.25">
      <c r="A873" s="33"/>
      <c r="B873" s="33"/>
      <c r="C873" s="33"/>
      <c r="D873" s="33"/>
    </row>
    <row r="874" spans="1:4" ht="15.75" customHeight="1" x14ac:dyDescent="0.25">
      <c r="A874" s="33"/>
      <c r="B874" s="33"/>
      <c r="C874" s="33"/>
      <c r="D874" s="33"/>
    </row>
    <row r="875" spans="1:4" ht="15.75" customHeight="1" x14ac:dyDescent="0.25">
      <c r="A875" s="33"/>
      <c r="B875" s="33"/>
      <c r="C875" s="33"/>
      <c r="D875" s="33"/>
    </row>
    <row r="876" spans="1:4" ht="15.75" customHeight="1" x14ac:dyDescent="0.25">
      <c r="A876" s="33"/>
      <c r="B876" s="33"/>
      <c r="C876" s="33"/>
      <c r="D876" s="33"/>
    </row>
    <row r="877" spans="1:4" ht="15.75" customHeight="1" x14ac:dyDescent="0.25">
      <c r="A877" s="33"/>
      <c r="B877" s="33"/>
      <c r="C877" s="33"/>
      <c r="D877" s="33"/>
    </row>
    <row r="878" spans="1:4" ht="15.75" customHeight="1" x14ac:dyDescent="0.25">
      <c r="A878" s="33"/>
      <c r="B878" s="33"/>
      <c r="C878" s="33"/>
      <c r="D878" s="33"/>
    </row>
    <row r="879" spans="1:4" ht="15.75" customHeight="1" x14ac:dyDescent="0.25">
      <c r="A879" s="33"/>
      <c r="B879" s="33"/>
      <c r="C879" s="33"/>
      <c r="D879" s="33"/>
    </row>
    <row r="880" spans="1:4" ht="15.75" customHeight="1" x14ac:dyDescent="0.25">
      <c r="A880" s="33"/>
      <c r="B880" s="33"/>
      <c r="C880" s="33"/>
      <c r="D880" s="33"/>
    </row>
    <row r="881" spans="1:4" ht="15.75" customHeight="1" x14ac:dyDescent="0.25">
      <c r="A881" s="33"/>
      <c r="B881" s="33"/>
      <c r="C881" s="33"/>
      <c r="D881" s="33"/>
    </row>
    <row r="882" spans="1:4" ht="15.75" customHeight="1" x14ac:dyDescent="0.25">
      <c r="A882" s="33"/>
      <c r="B882" s="33"/>
      <c r="C882" s="33"/>
      <c r="D882" s="33"/>
    </row>
    <row r="883" spans="1:4" ht="15.75" customHeight="1" x14ac:dyDescent="0.25">
      <c r="A883" s="33"/>
      <c r="B883" s="33"/>
      <c r="C883" s="33"/>
      <c r="D883" s="33"/>
    </row>
    <row r="884" spans="1:4" ht="15.75" customHeight="1" x14ac:dyDescent="0.25">
      <c r="A884" s="33"/>
      <c r="B884" s="33"/>
      <c r="C884" s="33"/>
      <c r="D884" s="33"/>
    </row>
    <row r="885" spans="1:4" ht="15.75" customHeight="1" x14ac:dyDescent="0.25">
      <c r="A885" s="33"/>
      <c r="B885" s="33"/>
      <c r="C885" s="33"/>
      <c r="D885" s="33"/>
    </row>
    <row r="886" spans="1:4" ht="15.75" customHeight="1" x14ac:dyDescent="0.25">
      <c r="A886" s="33"/>
      <c r="B886" s="33"/>
      <c r="C886" s="33"/>
      <c r="D886" s="33"/>
    </row>
    <row r="887" spans="1:4" ht="15.75" customHeight="1" x14ac:dyDescent="0.25">
      <c r="A887" s="33"/>
      <c r="B887" s="33"/>
      <c r="C887" s="33"/>
      <c r="D887" s="33"/>
    </row>
    <row r="888" spans="1:4" ht="15.75" customHeight="1" x14ac:dyDescent="0.25">
      <c r="A888" s="33"/>
      <c r="B888" s="33"/>
      <c r="C888" s="33"/>
      <c r="D888" s="33"/>
    </row>
    <row r="889" spans="1:4" ht="15.75" customHeight="1" x14ac:dyDescent="0.25">
      <c r="A889" s="33"/>
      <c r="B889" s="33"/>
      <c r="C889" s="33"/>
      <c r="D889" s="33"/>
    </row>
    <row r="890" spans="1:4" ht="15.75" customHeight="1" x14ac:dyDescent="0.25">
      <c r="A890" s="33"/>
      <c r="B890" s="33"/>
      <c r="C890" s="33"/>
      <c r="D890" s="33"/>
    </row>
    <row r="891" spans="1:4" ht="15.75" customHeight="1" x14ac:dyDescent="0.25">
      <c r="A891" s="33"/>
      <c r="B891" s="33"/>
      <c r="C891" s="33"/>
      <c r="D891" s="33"/>
    </row>
    <row r="892" spans="1:4" ht="15.75" customHeight="1" x14ac:dyDescent="0.25">
      <c r="A892" s="33"/>
      <c r="B892" s="33"/>
      <c r="C892" s="33"/>
      <c r="D892" s="33"/>
    </row>
    <row r="893" spans="1:4" ht="15.75" customHeight="1" x14ac:dyDescent="0.25">
      <c r="A893" s="33"/>
      <c r="B893" s="33"/>
      <c r="C893" s="33"/>
      <c r="D893" s="33"/>
    </row>
    <row r="894" spans="1:4" ht="15.75" customHeight="1" x14ac:dyDescent="0.25">
      <c r="A894" s="33"/>
      <c r="B894" s="33"/>
      <c r="C894" s="33"/>
      <c r="D894" s="33"/>
    </row>
    <row r="895" spans="1:4" ht="15.75" customHeight="1" x14ac:dyDescent="0.25">
      <c r="A895" s="33"/>
      <c r="B895" s="33"/>
      <c r="C895" s="33"/>
      <c r="D895" s="33"/>
    </row>
    <row r="896" spans="1:4" ht="15.75" customHeight="1" x14ac:dyDescent="0.25">
      <c r="A896" s="33"/>
      <c r="B896" s="33"/>
      <c r="C896" s="33"/>
      <c r="D896" s="33"/>
    </row>
    <row r="897" spans="1:4" ht="15.75" customHeight="1" x14ac:dyDescent="0.25">
      <c r="A897" s="33"/>
      <c r="B897" s="33"/>
      <c r="C897" s="33"/>
      <c r="D897" s="33"/>
    </row>
    <row r="898" spans="1:4" ht="15.75" customHeight="1" x14ac:dyDescent="0.25">
      <c r="A898" s="33"/>
      <c r="B898" s="33"/>
      <c r="C898" s="33"/>
      <c r="D898" s="33"/>
    </row>
    <row r="899" spans="1:4" ht="15.75" customHeight="1" x14ac:dyDescent="0.25">
      <c r="A899" s="33"/>
      <c r="B899" s="33"/>
      <c r="C899" s="33"/>
      <c r="D899" s="33"/>
    </row>
    <row r="900" spans="1:4" ht="15.75" customHeight="1" x14ac:dyDescent="0.25">
      <c r="A900" s="33"/>
      <c r="B900" s="33"/>
      <c r="C900" s="33"/>
      <c r="D900" s="33"/>
    </row>
    <row r="901" spans="1:4" ht="15.75" customHeight="1" x14ac:dyDescent="0.25">
      <c r="A901" s="33"/>
      <c r="B901" s="33"/>
      <c r="C901" s="33"/>
      <c r="D901" s="33"/>
    </row>
    <row r="902" spans="1:4" ht="15.75" customHeight="1" x14ac:dyDescent="0.25">
      <c r="A902" s="33"/>
      <c r="B902" s="33"/>
      <c r="C902" s="33"/>
      <c r="D902" s="33"/>
    </row>
    <row r="903" spans="1:4" ht="15.75" customHeight="1" x14ac:dyDescent="0.25">
      <c r="A903" s="33"/>
      <c r="B903" s="33"/>
      <c r="C903" s="33"/>
      <c r="D903" s="33"/>
    </row>
    <row r="904" spans="1:4" ht="15.75" customHeight="1" x14ac:dyDescent="0.25">
      <c r="A904" s="33"/>
      <c r="B904" s="33"/>
      <c r="C904" s="33"/>
      <c r="D904" s="33"/>
    </row>
    <row r="905" spans="1:4" ht="15.75" customHeight="1" x14ac:dyDescent="0.25">
      <c r="A905" s="33"/>
      <c r="B905" s="33"/>
      <c r="C905" s="33"/>
      <c r="D905" s="33"/>
    </row>
    <row r="906" spans="1:4" ht="15.75" customHeight="1" x14ac:dyDescent="0.25">
      <c r="A906" s="33"/>
      <c r="B906" s="33"/>
      <c r="C906" s="33"/>
      <c r="D906" s="33"/>
    </row>
    <row r="907" spans="1:4" ht="15.75" customHeight="1" x14ac:dyDescent="0.25">
      <c r="A907" s="33"/>
      <c r="B907" s="33"/>
      <c r="C907" s="33"/>
      <c r="D907" s="33"/>
    </row>
    <row r="908" spans="1:4" ht="15.75" customHeight="1" x14ac:dyDescent="0.25">
      <c r="A908" s="33"/>
      <c r="B908" s="33"/>
      <c r="C908" s="33"/>
      <c r="D908" s="33"/>
    </row>
    <row r="909" spans="1:4" ht="15.75" customHeight="1" x14ac:dyDescent="0.25">
      <c r="A909" s="33"/>
      <c r="B909" s="33"/>
      <c r="C909" s="33"/>
      <c r="D909" s="33"/>
    </row>
    <row r="910" spans="1:4" ht="15.75" customHeight="1" x14ac:dyDescent="0.25">
      <c r="A910" s="33"/>
      <c r="B910" s="33"/>
      <c r="C910" s="33"/>
      <c r="D910" s="33"/>
    </row>
    <row r="911" spans="1:4" ht="15.75" customHeight="1" x14ac:dyDescent="0.25">
      <c r="A911" s="33"/>
      <c r="B911" s="33"/>
      <c r="C911" s="33"/>
      <c r="D911" s="33"/>
    </row>
    <row r="912" spans="1:4" ht="15.75" customHeight="1" x14ac:dyDescent="0.25">
      <c r="A912" s="33"/>
      <c r="B912" s="33"/>
      <c r="C912" s="33"/>
      <c r="D912" s="33"/>
    </row>
    <row r="913" spans="1:4" ht="15.75" customHeight="1" x14ac:dyDescent="0.25">
      <c r="A913" s="33"/>
      <c r="B913" s="33"/>
      <c r="C913" s="33"/>
      <c r="D913" s="33"/>
    </row>
    <row r="914" spans="1:4" ht="15.75" customHeight="1" x14ac:dyDescent="0.25">
      <c r="A914" s="33"/>
      <c r="B914" s="33"/>
      <c r="C914" s="33"/>
      <c r="D914" s="33"/>
    </row>
    <row r="915" spans="1:4" ht="15.75" customHeight="1" x14ac:dyDescent="0.25">
      <c r="A915" s="33"/>
      <c r="B915" s="33"/>
      <c r="C915" s="33"/>
      <c r="D915" s="33"/>
    </row>
    <row r="916" spans="1:4" ht="15.75" customHeight="1" x14ac:dyDescent="0.25">
      <c r="A916" s="33"/>
      <c r="B916" s="33"/>
      <c r="C916" s="33"/>
      <c r="D916" s="33"/>
    </row>
    <row r="917" spans="1:4" ht="15.75" customHeight="1" x14ac:dyDescent="0.25">
      <c r="A917" s="33"/>
      <c r="B917" s="33"/>
      <c r="C917" s="33"/>
      <c r="D917" s="33"/>
    </row>
    <row r="918" spans="1:4" ht="15.75" customHeight="1" x14ac:dyDescent="0.25">
      <c r="A918" s="33"/>
      <c r="B918" s="33"/>
      <c r="C918" s="33"/>
      <c r="D918" s="33"/>
    </row>
    <row r="919" spans="1:4" ht="15.75" customHeight="1" x14ac:dyDescent="0.25">
      <c r="A919" s="33"/>
      <c r="B919" s="33"/>
      <c r="C919" s="33"/>
      <c r="D919" s="33"/>
    </row>
    <row r="920" spans="1:4" ht="15.75" customHeight="1" x14ac:dyDescent="0.25">
      <c r="A920" s="33"/>
      <c r="B920" s="33"/>
      <c r="C920" s="33"/>
      <c r="D920" s="33"/>
    </row>
    <row r="921" spans="1:4" ht="15.75" customHeight="1" x14ac:dyDescent="0.25">
      <c r="A921" s="33"/>
      <c r="B921" s="33"/>
      <c r="C921" s="33"/>
      <c r="D921" s="33"/>
    </row>
    <row r="922" spans="1:4" ht="15.75" customHeight="1" x14ac:dyDescent="0.25">
      <c r="A922" s="33"/>
      <c r="B922" s="33"/>
      <c r="C922" s="33"/>
      <c r="D922" s="33"/>
    </row>
    <row r="923" spans="1:4" ht="15.75" customHeight="1" x14ac:dyDescent="0.25">
      <c r="A923" s="33"/>
      <c r="B923" s="33"/>
      <c r="C923" s="33"/>
      <c r="D923" s="33"/>
    </row>
    <row r="924" spans="1:4" ht="15.75" customHeight="1" x14ac:dyDescent="0.25">
      <c r="A924" s="33"/>
      <c r="B924" s="33"/>
      <c r="C924" s="33"/>
      <c r="D924" s="33"/>
    </row>
    <row r="925" spans="1:4" ht="15.75" customHeight="1" x14ac:dyDescent="0.25">
      <c r="A925" s="33"/>
      <c r="B925" s="33"/>
      <c r="C925" s="33"/>
      <c r="D925" s="33"/>
    </row>
    <row r="926" spans="1:4" ht="15.75" customHeight="1" x14ac:dyDescent="0.25">
      <c r="A926" s="33"/>
      <c r="B926" s="33"/>
      <c r="C926" s="33"/>
      <c r="D926" s="33"/>
    </row>
    <row r="927" spans="1:4" ht="15.75" customHeight="1" x14ac:dyDescent="0.25">
      <c r="A927" s="33"/>
      <c r="B927" s="33"/>
      <c r="C927" s="33"/>
      <c r="D927" s="33"/>
    </row>
    <row r="928" spans="1:4" ht="15.75" customHeight="1" x14ac:dyDescent="0.25">
      <c r="A928" s="33"/>
      <c r="B928" s="33"/>
      <c r="C928" s="33"/>
      <c r="D928" s="33"/>
    </row>
    <row r="929" spans="1:4" ht="15.75" customHeight="1" x14ac:dyDescent="0.25">
      <c r="A929" s="33"/>
      <c r="B929" s="33"/>
      <c r="C929" s="33"/>
      <c r="D929" s="33"/>
    </row>
    <row r="930" spans="1:4" ht="15.75" customHeight="1" x14ac:dyDescent="0.25">
      <c r="A930" s="33"/>
      <c r="B930" s="33"/>
      <c r="C930" s="33"/>
      <c r="D930" s="33"/>
    </row>
    <row r="931" spans="1:4" ht="15.75" customHeight="1" x14ac:dyDescent="0.25">
      <c r="A931" s="33"/>
      <c r="B931" s="33"/>
      <c r="C931" s="33"/>
      <c r="D931" s="33"/>
    </row>
    <row r="932" spans="1:4" ht="15.75" customHeight="1" x14ac:dyDescent="0.25">
      <c r="A932" s="33"/>
      <c r="B932" s="33"/>
      <c r="C932" s="33"/>
      <c r="D932" s="33"/>
    </row>
    <row r="933" spans="1:4" ht="15.75" customHeight="1" x14ac:dyDescent="0.25">
      <c r="A933" s="33"/>
      <c r="B933" s="33"/>
      <c r="C933" s="33"/>
      <c r="D933" s="33"/>
    </row>
    <row r="934" spans="1:4" ht="15.75" customHeight="1" x14ac:dyDescent="0.25">
      <c r="A934" s="33"/>
      <c r="B934" s="33"/>
      <c r="C934" s="33"/>
      <c r="D934" s="33"/>
    </row>
    <row r="935" spans="1:4" ht="15.75" customHeight="1" x14ac:dyDescent="0.25">
      <c r="A935" s="33"/>
      <c r="B935" s="33"/>
      <c r="C935" s="33"/>
      <c r="D935" s="33"/>
    </row>
    <row r="936" spans="1:4" ht="15.75" customHeight="1" x14ac:dyDescent="0.25">
      <c r="A936" s="33"/>
      <c r="B936" s="33"/>
      <c r="C936" s="33"/>
      <c r="D936" s="33"/>
    </row>
    <row r="937" spans="1:4" ht="15.75" customHeight="1" x14ac:dyDescent="0.25">
      <c r="A937" s="33"/>
      <c r="B937" s="33"/>
      <c r="C937" s="33"/>
      <c r="D937" s="33"/>
    </row>
    <row r="938" spans="1:4" ht="15.75" customHeight="1" x14ac:dyDescent="0.25">
      <c r="A938" s="33"/>
      <c r="B938" s="33"/>
      <c r="C938" s="33"/>
      <c r="D938" s="33"/>
    </row>
    <row r="939" spans="1:4" ht="15.75" customHeight="1" x14ac:dyDescent="0.25">
      <c r="A939" s="33"/>
      <c r="B939" s="33"/>
      <c r="C939" s="33"/>
      <c r="D939" s="33"/>
    </row>
    <row r="940" spans="1:4" ht="15.75" customHeight="1" x14ac:dyDescent="0.25">
      <c r="A940" s="33"/>
      <c r="B940" s="33"/>
      <c r="C940" s="33"/>
      <c r="D940" s="33"/>
    </row>
    <row r="941" spans="1:4" ht="15.75" customHeight="1" x14ac:dyDescent="0.25">
      <c r="A941" s="33"/>
      <c r="B941" s="33"/>
      <c r="C941" s="33"/>
      <c r="D941" s="33"/>
    </row>
    <row r="942" spans="1:4" ht="15.75" customHeight="1" x14ac:dyDescent="0.25">
      <c r="A942" s="33"/>
      <c r="B942" s="33"/>
      <c r="C942" s="33"/>
      <c r="D942" s="33"/>
    </row>
    <row r="943" spans="1:4" ht="15.75" customHeight="1" x14ac:dyDescent="0.25">
      <c r="A943" s="33"/>
      <c r="B943" s="33"/>
      <c r="C943" s="33"/>
      <c r="D943" s="33"/>
    </row>
    <row r="944" spans="1:4" ht="15.75" customHeight="1" x14ac:dyDescent="0.25">
      <c r="A944" s="33"/>
      <c r="B944" s="33"/>
      <c r="C944" s="33"/>
      <c r="D944" s="33"/>
    </row>
    <row r="945" spans="1:4" ht="15.75" customHeight="1" x14ac:dyDescent="0.25">
      <c r="A945" s="33"/>
      <c r="B945" s="33"/>
      <c r="C945" s="33"/>
      <c r="D945" s="33"/>
    </row>
    <row r="946" spans="1:4" ht="15.75" customHeight="1" x14ac:dyDescent="0.25">
      <c r="A946" s="33"/>
      <c r="B946" s="33"/>
      <c r="C946" s="33"/>
      <c r="D946" s="33"/>
    </row>
    <row r="947" spans="1:4" ht="15.75" customHeight="1" x14ac:dyDescent="0.25">
      <c r="A947" s="33"/>
      <c r="B947" s="33"/>
      <c r="C947" s="33"/>
      <c r="D947" s="33"/>
    </row>
    <row r="948" spans="1:4" ht="15.75" customHeight="1" x14ac:dyDescent="0.25">
      <c r="A948" s="33"/>
      <c r="B948" s="33"/>
      <c r="C948" s="33"/>
      <c r="D948" s="33"/>
    </row>
    <row r="949" spans="1:4" ht="15.75" customHeight="1" x14ac:dyDescent="0.25">
      <c r="A949" s="33"/>
      <c r="B949" s="33"/>
      <c r="C949" s="33"/>
      <c r="D949" s="33"/>
    </row>
    <row r="950" spans="1:4" ht="15.75" customHeight="1" x14ac:dyDescent="0.25">
      <c r="A950" s="33"/>
      <c r="B950" s="33"/>
      <c r="C950" s="33"/>
      <c r="D950" s="33"/>
    </row>
    <row r="951" spans="1:4" ht="15.75" customHeight="1" x14ac:dyDescent="0.25">
      <c r="A951" s="33"/>
      <c r="B951" s="33"/>
      <c r="C951" s="33"/>
      <c r="D951" s="33"/>
    </row>
    <row r="952" spans="1:4" ht="15.75" customHeight="1" x14ac:dyDescent="0.25">
      <c r="A952" s="33"/>
      <c r="B952" s="33"/>
      <c r="C952" s="33"/>
      <c r="D952" s="33"/>
    </row>
    <row r="953" spans="1:4" ht="15.75" customHeight="1" x14ac:dyDescent="0.25">
      <c r="A953" s="33"/>
      <c r="B953" s="33"/>
      <c r="C953" s="33"/>
      <c r="D953" s="33"/>
    </row>
    <row r="954" spans="1:4" ht="15.75" customHeight="1" x14ac:dyDescent="0.25">
      <c r="A954" s="33"/>
      <c r="B954" s="33"/>
      <c r="C954" s="33"/>
      <c r="D954" s="33"/>
    </row>
    <row r="955" spans="1:4" ht="15.75" customHeight="1" x14ac:dyDescent="0.25">
      <c r="A955" s="33"/>
      <c r="B955" s="33"/>
      <c r="C955" s="33"/>
      <c r="D955" s="33"/>
    </row>
    <row r="956" spans="1:4" ht="15.75" customHeight="1" x14ac:dyDescent="0.25">
      <c r="A956" s="33"/>
      <c r="B956" s="33"/>
      <c r="C956" s="33"/>
      <c r="D956" s="33"/>
    </row>
    <row r="957" spans="1:4" ht="15.75" customHeight="1" x14ac:dyDescent="0.25">
      <c r="A957" s="33"/>
      <c r="B957" s="33"/>
      <c r="C957" s="33"/>
      <c r="D957" s="33"/>
    </row>
    <row r="958" spans="1:4" ht="15.75" customHeight="1" x14ac:dyDescent="0.25">
      <c r="A958" s="33"/>
      <c r="B958" s="33"/>
      <c r="C958" s="33"/>
      <c r="D958" s="33"/>
    </row>
    <row r="959" spans="1:4" ht="15.75" customHeight="1" x14ac:dyDescent="0.25">
      <c r="A959" s="33"/>
      <c r="B959" s="33"/>
      <c r="C959" s="33"/>
      <c r="D959" s="33"/>
    </row>
    <row r="960" spans="1:4" ht="15.75" customHeight="1" x14ac:dyDescent="0.25">
      <c r="A960" s="33"/>
      <c r="B960" s="33"/>
      <c r="C960" s="33"/>
      <c r="D960" s="33"/>
    </row>
    <row r="961" spans="1:4" ht="15.75" customHeight="1" x14ac:dyDescent="0.25">
      <c r="A961" s="33"/>
      <c r="B961" s="33"/>
      <c r="C961" s="33"/>
      <c r="D961" s="33"/>
    </row>
    <row r="962" spans="1:4" ht="15.75" customHeight="1" x14ac:dyDescent="0.25">
      <c r="A962" s="33"/>
      <c r="B962" s="33"/>
      <c r="C962" s="33"/>
      <c r="D962" s="33"/>
    </row>
    <row r="963" spans="1:4" ht="15.75" customHeight="1" x14ac:dyDescent="0.25">
      <c r="A963" s="33"/>
      <c r="B963" s="33"/>
      <c r="C963" s="33"/>
      <c r="D963" s="33"/>
    </row>
    <row r="964" spans="1:4" ht="15.75" customHeight="1" x14ac:dyDescent="0.25">
      <c r="A964" s="33"/>
      <c r="B964" s="33"/>
      <c r="C964" s="33"/>
      <c r="D964" s="33"/>
    </row>
    <row r="965" spans="1:4" ht="15.75" customHeight="1" x14ac:dyDescent="0.25">
      <c r="A965" s="33"/>
      <c r="B965" s="33"/>
      <c r="C965" s="33"/>
      <c r="D965" s="33"/>
    </row>
    <row r="966" spans="1:4" ht="15.75" customHeight="1" x14ac:dyDescent="0.25">
      <c r="A966" s="33"/>
      <c r="B966" s="33"/>
      <c r="C966" s="33"/>
      <c r="D966" s="33"/>
    </row>
    <row r="967" spans="1:4" ht="15.75" customHeight="1" x14ac:dyDescent="0.25">
      <c r="A967" s="33"/>
      <c r="B967" s="33"/>
      <c r="C967" s="33"/>
      <c r="D967" s="33"/>
    </row>
    <row r="968" spans="1:4" ht="15.75" customHeight="1" x14ac:dyDescent="0.25">
      <c r="A968" s="33"/>
      <c r="B968" s="33"/>
      <c r="C968" s="33"/>
      <c r="D968" s="33"/>
    </row>
    <row r="969" spans="1:4" ht="15.75" customHeight="1" x14ac:dyDescent="0.25">
      <c r="A969" s="33"/>
      <c r="B969" s="33"/>
      <c r="C969" s="33"/>
      <c r="D969" s="33"/>
    </row>
    <row r="970" spans="1:4" ht="15.75" customHeight="1" x14ac:dyDescent="0.25">
      <c r="A970" s="33"/>
      <c r="B970" s="33"/>
      <c r="C970" s="33"/>
      <c r="D970" s="33"/>
    </row>
    <row r="971" spans="1:4" ht="15.75" customHeight="1" x14ac:dyDescent="0.25">
      <c r="A971" s="33"/>
      <c r="B971" s="33"/>
      <c r="C971" s="33"/>
      <c r="D971" s="33"/>
    </row>
    <row r="972" spans="1:4" ht="15.75" customHeight="1" x14ac:dyDescent="0.25">
      <c r="A972" s="33"/>
      <c r="B972" s="33"/>
      <c r="C972" s="33"/>
      <c r="D972" s="33"/>
    </row>
    <row r="973" spans="1:4" ht="15.75" customHeight="1" x14ac:dyDescent="0.25">
      <c r="A973" s="33"/>
      <c r="B973" s="33"/>
      <c r="C973" s="33"/>
      <c r="D973" s="33"/>
    </row>
    <row r="974" spans="1:4" ht="15.75" customHeight="1" x14ac:dyDescent="0.25">
      <c r="A974" s="33"/>
      <c r="B974" s="33"/>
      <c r="C974" s="33"/>
      <c r="D974" s="33"/>
    </row>
    <row r="975" spans="1:4" ht="15.75" customHeight="1" x14ac:dyDescent="0.25">
      <c r="A975" s="33"/>
      <c r="B975" s="33"/>
      <c r="C975" s="33"/>
      <c r="D975" s="33"/>
    </row>
    <row r="976" spans="1:4" ht="15.75" customHeight="1" x14ac:dyDescent="0.25">
      <c r="A976" s="33"/>
      <c r="B976" s="33"/>
      <c r="C976" s="33"/>
      <c r="D976" s="33"/>
    </row>
    <row r="977" spans="1:4" ht="15.75" customHeight="1" x14ac:dyDescent="0.25">
      <c r="A977" s="33"/>
      <c r="B977" s="33"/>
      <c r="C977" s="33"/>
      <c r="D977" s="33"/>
    </row>
    <row r="978" spans="1:4" ht="15.75" customHeight="1" x14ac:dyDescent="0.25">
      <c r="A978" s="33"/>
      <c r="B978" s="33"/>
      <c r="C978" s="33"/>
      <c r="D978" s="33"/>
    </row>
    <row r="979" spans="1:4" ht="15.75" customHeight="1" x14ac:dyDescent="0.25">
      <c r="A979" s="33"/>
      <c r="B979" s="33"/>
      <c r="C979" s="33"/>
      <c r="D979" s="33"/>
    </row>
    <row r="980" spans="1:4" ht="15.75" customHeight="1" x14ac:dyDescent="0.25">
      <c r="A980" s="33"/>
      <c r="B980" s="33"/>
      <c r="C980" s="33"/>
      <c r="D980" s="33"/>
    </row>
    <row r="981" spans="1:4" ht="15.75" customHeight="1" x14ac:dyDescent="0.25">
      <c r="A981" s="33"/>
      <c r="B981" s="33"/>
      <c r="C981" s="33"/>
      <c r="D981" s="33"/>
    </row>
    <row r="982" spans="1:4" ht="15.75" customHeight="1" x14ac:dyDescent="0.25">
      <c r="A982" s="33"/>
      <c r="B982" s="33"/>
      <c r="C982" s="33"/>
      <c r="D982" s="33"/>
    </row>
    <row r="983" spans="1:4" ht="15.75" customHeight="1" x14ac:dyDescent="0.25">
      <c r="A983" s="33"/>
      <c r="B983" s="33"/>
      <c r="C983" s="33"/>
      <c r="D983" s="33"/>
    </row>
    <row r="984" spans="1:4" ht="15.75" customHeight="1" x14ac:dyDescent="0.25">
      <c r="A984" s="33"/>
      <c r="B984" s="33"/>
      <c r="C984" s="33"/>
      <c r="D984" s="33"/>
    </row>
    <row r="985" spans="1:4" ht="15.75" customHeight="1" x14ac:dyDescent="0.25">
      <c r="A985" s="33"/>
      <c r="B985" s="33"/>
      <c r="C985" s="33"/>
      <c r="D985" s="33"/>
    </row>
    <row r="986" spans="1:4" ht="15.75" customHeight="1" x14ac:dyDescent="0.25">
      <c r="A986" s="33"/>
      <c r="B986" s="33"/>
      <c r="C986" s="33"/>
      <c r="D986" s="33"/>
    </row>
    <row r="987" spans="1:4" ht="15.75" customHeight="1" x14ac:dyDescent="0.25">
      <c r="A987" s="33"/>
      <c r="B987" s="33"/>
      <c r="C987" s="33"/>
      <c r="D987" s="33"/>
    </row>
    <row r="988" spans="1:4" ht="15.75" customHeight="1" x14ac:dyDescent="0.25">
      <c r="A988" s="33"/>
      <c r="B988" s="33"/>
      <c r="C988" s="33"/>
      <c r="D988" s="33"/>
    </row>
    <row r="989" spans="1:4" ht="15.75" customHeight="1" x14ac:dyDescent="0.25">
      <c r="A989" s="33"/>
      <c r="B989" s="33"/>
      <c r="C989" s="33"/>
      <c r="D989" s="33"/>
    </row>
    <row r="990" spans="1:4" ht="15.75" customHeight="1" x14ac:dyDescent="0.25">
      <c r="A990" s="33"/>
      <c r="B990" s="33"/>
      <c r="C990" s="33"/>
      <c r="D990" s="33"/>
    </row>
    <row r="991" spans="1:4" ht="15.75" customHeight="1" x14ac:dyDescent="0.25">
      <c r="A991" s="33"/>
      <c r="B991" s="33"/>
      <c r="C991" s="33"/>
      <c r="D991" s="33"/>
    </row>
    <row r="992" spans="1:4" ht="15.75" customHeight="1" x14ac:dyDescent="0.25">
      <c r="A992" s="33"/>
      <c r="B992" s="33"/>
      <c r="C992" s="33"/>
      <c r="D992" s="33"/>
    </row>
    <row r="993" spans="1:4" ht="15.75" customHeight="1" x14ac:dyDescent="0.25">
      <c r="A993" s="33"/>
      <c r="B993" s="33"/>
      <c r="C993" s="33"/>
      <c r="D993" s="33"/>
    </row>
    <row r="994" spans="1:4" ht="15.75" customHeight="1" x14ac:dyDescent="0.25">
      <c r="A994" s="33"/>
      <c r="B994" s="33"/>
      <c r="C994" s="33"/>
      <c r="D994" s="33"/>
    </row>
    <row r="995" spans="1:4" ht="15.75" customHeight="1" x14ac:dyDescent="0.25">
      <c r="A995" s="33"/>
      <c r="B995" s="33"/>
      <c r="C995" s="33"/>
      <c r="D995" s="33"/>
    </row>
    <row r="996" spans="1:4" ht="15.75" customHeight="1" x14ac:dyDescent="0.25">
      <c r="A996" s="33"/>
      <c r="B996" s="33"/>
      <c r="C996" s="33"/>
      <c r="D996" s="33"/>
    </row>
    <row r="997" spans="1:4" ht="15.75" customHeight="1" x14ac:dyDescent="0.25">
      <c r="A997" s="33"/>
      <c r="B997" s="33"/>
      <c r="C997" s="33"/>
      <c r="D997" s="33"/>
    </row>
    <row r="998" spans="1:4" ht="15.75" customHeight="1" x14ac:dyDescent="0.25">
      <c r="A998" s="33"/>
      <c r="B998" s="33"/>
      <c r="C998" s="33"/>
      <c r="D998" s="33"/>
    </row>
    <row r="999" spans="1:4" ht="15.75" customHeight="1" x14ac:dyDescent="0.25">
      <c r="A999" s="33"/>
      <c r="B999" s="33"/>
      <c r="C999" s="33"/>
      <c r="D999" s="33"/>
    </row>
    <row r="1000" spans="1:4" ht="15.75" customHeight="1" x14ac:dyDescent="0.25">
      <c r="A1000" s="33"/>
      <c r="B1000" s="33"/>
      <c r="C1000" s="33"/>
      <c r="D1000" s="33"/>
    </row>
  </sheetData>
  <pageMargins left="0.7" right="0.7" top="0.75" bottom="0.75" header="0.51180555555555496" footer="0.51180555555555496"/>
  <pageSetup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JeYjEy</dc:creator>
  <dc:description/>
  <cp:lastModifiedBy>arthur Alvarez</cp:lastModifiedBy>
  <cp:revision>3</cp:revision>
  <dcterms:created xsi:type="dcterms:W3CDTF">2021-02-27T08:31:49Z</dcterms:created>
  <dcterms:modified xsi:type="dcterms:W3CDTF">2024-11-25T18:25:15Z</dcterms:modified>
  <dc:language>fr-FR</dc:language>
</cp:coreProperties>
</file>